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isba\OneDrive\Desktop\"/>
    </mc:Choice>
  </mc:AlternateContent>
  <xr:revisionPtr revIDLastSave="0" documentId="13_ncr:1_{CFE31E8A-ACE7-4EBA-8C4A-F3BC4E2B35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8" i="1" l="1" a="1"/>
  <c r="AJ38" i="1" s="1"/>
  <c r="AJ22" i="1" a="1"/>
  <c r="AJ2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<sst xmlns="http://schemas.openxmlformats.org/spreadsheetml/2006/main" count="23" uniqueCount="13">
  <si>
    <t>t</t>
  </si>
  <si>
    <t>x</t>
  </si>
  <si>
    <t>y</t>
  </si>
  <si>
    <t>vx</t>
  </si>
  <si>
    <t>vy</t>
  </si>
  <si>
    <t>time (in sec)</t>
  </si>
  <si>
    <t>y-position (in m)</t>
  </si>
  <si>
    <t>y-velocity (in m/s)</t>
  </si>
  <si>
    <t>t-square/2 (in s^2)</t>
  </si>
  <si>
    <t>m</t>
  </si>
  <si>
    <t>unc of m</t>
  </si>
  <si>
    <t>b</t>
  </si>
  <si>
    <t>unc of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</si>
</sst>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000"/>
    <numFmt numFmtId="167" formatCode="0.00000"/>
    <numFmt numFmtId="168" formatCode="0.0000"/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1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68" fontId="0" fillId="5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0" fillId="8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68" fontId="0" fillId="8" borderId="0" xfId="0" applyNumberFormat="1" applyFill="1" applyAlignment="1">
      <alignment horizontal="center" vertical="center"/>
    </xf>
    <xf numFmtId="167" fontId="0" fillId="9" borderId="0" xfId="0" applyNumberFormat="1" applyFill="1" applyAlignment="1">
      <alignment horizontal="center" vertical="center"/>
    </xf>
    <xf numFmtId="169" fontId="0" fillId="8" borderId="0" xfId="0" applyNumberFormat="1" applyFill="1" applyAlignment="1">
      <alignment horizontal="center" vertical="center"/>
    </xf>
    <xf numFmtId="169" fontId="0" fillId="5" borderId="0" xfId="0" applyNumberFormat="1" applyFill="1" applyAlignment="1">
      <alignment horizontal="center" vertical="center"/>
    </xf>
    <xf numFmtId="168" fontId="0" fillId="9" borderId="0" xfId="0" applyNumberFormat="1" applyFill="1" applyAlignment="1">
      <alignment horizontal="center" vertical="center"/>
    </xf>
    <xf numFmtId="169" fontId="0" fillId="6" borderId="0" xfId="0" applyNumberFormat="1" applyFill="1" applyAlignment="1">
      <alignment horizontal="center" vertical="center"/>
    </xf>
    <xf numFmtId="169" fontId="0" fillId="9" borderId="0" xfId="0" applyNumberFormat="1" applyFill="1" applyAlignment="1">
      <alignment horizontal="center" vertical="center"/>
    </xf>
    <xf numFmtId="168" fontId="0" fillId="6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Y-position,</a:t>
            </a:r>
            <a:r>
              <a:rPr 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y (in m) </a:t>
            </a: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vs</a:t>
            </a:r>
            <a:r>
              <a:rPr 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Time, t (in s)</a:t>
            </a:r>
            <a:endParaRPr lang="en-US" sz="12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6415966754155729"/>
          <c:y val="3.20822112979906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Sheet1!$W$1</c:f>
              <c:strCache>
                <c:ptCount val="1"/>
                <c:pt idx="0">
                  <c:v>y-position (in 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Sheet1!$V$2:$V$40</c:f>
              <c:numCache>
                <c:formatCode>0.0000</c:formatCode>
                <c:ptCount val="39"/>
                <c:pt idx="0">
                  <c:v>3.3000000000000002E-2</c:v>
                </c:pt>
                <c:pt idx="1">
                  <c:v>0.05</c:v>
                </c:pt>
                <c:pt idx="2">
                  <c:v>6.7000000000000004E-2</c:v>
                </c:pt>
                <c:pt idx="3">
                  <c:v>8.3000000000000004E-2</c:v>
                </c:pt>
                <c:pt idx="4" formatCode="0.000">
                  <c:v>0.1</c:v>
                </c:pt>
                <c:pt idx="5" formatCode="0.000">
                  <c:v>0.11700000000000001</c:v>
                </c:pt>
                <c:pt idx="6" formatCode="0.000">
                  <c:v>0.13300000000000001</c:v>
                </c:pt>
                <c:pt idx="7" formatCode="0.000">
                  <c:v>0.15</c:v>
                </c:pt>
                <c:pt idx="8" formatCode="0.000">
                  <c:v>0.16700000000000001</c:v>
                </c:pt>
                <c:pt idx="9" formatCode="0.000">
                  <c:v>0.183</c:v>
                </c:pt>
                <c:pt idx="10" formatCode="0.000">
                  <c:v>0.2</c:v>
                </c:pt>
                <c:pt idx="11" formatCode="0.000">
                  <c:v>0.217</c:v>
                </c:pt>
                <c:pt idx="12" formatCode="0.000">
                  <c:v>0.23300000000000001</c:v>
                </c:pt>
                <c:pt idx="13" formatCode="0.000">
                  <c:v>0.25</c:v>
                </c:pt>
                <c:pt idx="14" formatCode="0.000">
                  <c:v>0.26700000000000002</c:v>
                </c:pt>
                <c:pt idx="15" formatCode="0.000">
                  <c:v>0.28299999999999997</c:v>
                </c:pt>
                <c:pt idx="16" formatCode="0.000">
                  <c:v>0.3</c:v>
                </c:pt>
                <c:pt idx="17" formatCode="0.000">
                  <c:v>0.317</c:v>
                </c:pt>
                <c:pt idx="18" formatCode="0.000">
                  <c:v>0.33300000000000002</c:v>
                </c:pt>
                <c:pt idx="19" formatCode="0.000">
                  <c:v>0.35</c:v>
                </c:pt>
                <c:pt idx="20" formatCode="0.000">
                  <c:v>0.36699999999999999</c:v>
                </c:pt>
                <c:pt idx="21" formatCode="0.000">
                  <c:v>0.38300000000000001</c:v>
                </c:pt>
                <c:pt idx="22" formatCode="0.000">
                  <c:v>0.4</c:v>
                </c:pt>
                <c:pt idx="23" formatCode="0.000">
                  <c:v>0.41699999999999998</c:v>
                </c:pt>
                <c:pt idx="24" formatCode="0.000">
                  <c:v>0.433</c:v>
                </c:pt>
                <c:pt idx="25" formatCode="0.000">
                  <c:v>0.45</c:v>
                </c:pt>
                <c:pt idx="26" formatCode="0.000">
                  <c:v>0.46700000000000003</c:v>
                </c:pt>
                <c:pt idx="27" formatCode="0.000">
                  <c:v>0.48299999999999998</c:v>
                </c:pt>
                <c:pt idx="28" formatCode="0.000">
                  <c:v>0.5</c:v>
                </c:pt>
                <c:pt idx="29" formatCode="0.000">
                  <c:v>0.51700000000000002</c:v>
                </c:pt>
                <c:pt idx="30" formatCode="0.000">
                  <c:v>0.53300000000000003</c:v>
                </c:pt>
                <c:pt idx="31" formatCode="0.000">
                  <c:v>0.55000000000000004</c:v>
                </c:pt>
                <c:pt idx="32" formatCode="0.000">
                  <c:v>0.56699999999999995</c:v>
                </c:pt>
                <c:pt idx="33" formatCode="0.000">
                  <c:v>0.58299999999999996</c:v>
                </c:pt>
                <c:pt idx="34" formatCode="0.000">
                  <c:v>0.6</c:v>
                </c:pt>
                <c:pt idx="35" formatCode="0.000">
                  <c:v>0.61699999999999999</c:v>
                </c:pt>
                <c:pt idx="36" formatCode="0.000">
                  <c:v>0.63300000000000001</c:v>
                </c:pt>
              </c:numCache>
            </c:numRef>
          </c:xVal>
          <c:yVal>
            <c:numRef>
              <c:f>Sheet1!$W$2:$W$40</c:f>
              <c:numCache>
                <c:formatCode>0.00</c:formatCode>
                <c:ptCount val="39"/>
                <c:pt idx="0">
                  <c:v>1.752</c:v>
                </c:pt>
                <c:pt idx="1">
                  <c:v>1.7490000000000001</c:v>
                </c:pt>
                <c:pt idx="2">
                  <c:v>1.75</c:v>
                </c:pt>
                <c:pt idx="3">
                  <c:v>1.7509999999999999</c:v>
                </c:pt>
                <c:pt idx="4">
                  <c:v>1.7430000000000001</c:v>
                </c:pt>
                <c:pt idx="5">
                  <c:v>1.734</c:v>
                </c:pt>
                <c:pt idx="6">
                  <c:v>1.726</c:v>
                </c:pt>
                <c:pt idx="7">
                  <c:v>1.7150000000000001</c:v>
                </c:pt>
                <c:pt idx="8">
                  <c:v>1.6950000000000001</c:v>
                </c:pt>
                <c:pt idx="9">
                  <c:v>1.677</c:v>
                </c:pt>
                <c:pt idx="10">
                  <c:v>1.6519999999999999</c:v>
                </c:pt>
                <c:pt idx="11">
                  <c:v>1.623</c:v>
                </c:pt>
                <c:pt idx="12">
                  <c:v>1.5960000000000001</c:v>
                </c:pt>
                <c:pt idx="13">
                  <c:v>1.5620000000000001</c:v>
                </c:pt>
                <c:pt idx="14">
                  <c:v>1.5309999999999999</c:v>
                </c:pt>
                <c:pt idx="15">
                  <c:v>1.49</c:v>
                </c:pt>
                <c:pt idx="16">
                  <c:v>1.448</c:v>
                </c:pt>
                <c:pt idx="17">
                  <c:v>1.401</c:v>
                </c:pt>
                <c:pt idx="18">
                  <c:v>1.355</c:v>
                </c:pt>
                <c:pt idx="19">
                  <c:v>1.304</c:v>
                </c:pt>
                <c:pt idx="20">
                  <c:v>1.2529999999999999</c:v>
                </c:pt>
                <c:pt idx="21">
                  <c:v>1.1970000000000001</c:v>
                </c:pt>
                <c:pt idx="22">
                  <c:v>1.141</c:v>
                </c:pt>
                <c:pt idx="23">
                  <c:v>1.0780000000000001</c:v>
                </c:pt>
                <c:pt idx="24">
                  <c:v>1.016</c:v>
                </c:pt>
                <c:pt idx="25" formatCode="0.000">
                  <c:v>0.94399999999999995</c:v>
                </c:pt>
                <c:pt idx="26" formatCode="0.000">
                  <c:v>0.878</c:v>
                </c:pt>
                <c:pt idx="27" formatCode="0.000">
                  <c:v>0.81</c:v>
                </c:pt>
                <c:pt idx="28" formatCode="0.000">
                  <c:v>0.73499999999999999</c:v>
                </c:pt>
                <c:pt idx="29" formatCode="0.000">
                  <c:v>0.65900000000000003</c:v>
                </c:pt>
                <c:pt idx="30" formatCode="0.000">
                  <c:v>0.58499999999999996</c:v>
                </c:pt>
                <c:pt idx="31" formatCode="0.000">
                  <c:v>0.505</c:v>
                </c:pt>
                <c:pt idx="32" formatCode="0.000">
                  <c:v>0.42399999999999999</c:v>
                </c:pt>
                <c:pt idx="33" formatCode="0.000">
                  <c:v>0.34</c:v>
                </c:pt>
                <c:pt idx="34" formatCode="0.000">
                  <c:v>0.251</c:v>
                </c:pt>
                <c:pt idx="35" formatCode="0.000">
                  <c:v>0.16</c:v>
                </c:pt>
                <c:pt idx="36" formatCode="0.0000">
                  <c:v>7.4149999999999994E-2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3E-41DA-943D-73AB5E9FD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975536"/>
        <c:axId val="1446302272"/>
      </c:scatterChart>
      <c:valAx>
        <c:axId val="158897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Time, t (in 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302272"/>
        <c:crosses val="autoZero"/>
        <c:crossBetween val="midCat"/>
      </c:valAx>
      <c:valAx>
        <c:axId val="144630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Y-position, y (in 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75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Y-position, y (in m) </a:t>
            </a:r>
            <a:r>
              <a:rPr lang="en-US" sz="12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cs typeface="+mn-cs"/>
              </a:rPr>
              <a:t>vs </a:t>
            </a:r>
            <a:r>
              <a:rPr lang="en-US" sz="1200" b="1" i="0" u="none" strike="noStrike" baseline="0">
                <a:effectLst/>
              </a:rPr>
              <a:t>𝟏/𝟐 𝐭^𝟐 (in s</a:t>
            </a:r>
            <a:r>
              <a:rPr lang="en-US" sz="1200" b="1" i="0" u="none" strike="noStrike" baseline="30000">
                <a:effectLst/>
              </a:rPr>
              <a:t>2</a:t>
            </a:r>
            <a:r>
              <a:rPr lang="en-US" sz="1200" b="1" i="0" u="none" strike="noStrike" baseline="0">
                <a:effectLst/>
              </a:rPr>
              <a:t>)</a:t>
            </a:r>
            <a:r>
              <a:rPr lang="en-US" sz="1200" baseline="0"/>
              <a:t> </a:t>
            </a:r>
            <a:endParaRPr lang="en-US" sz="1200"/>
          </a:p>
        </c:rich>
      </c:tx>
      <c:layout>
        <c:manualLayout>
          <c:xMode val="edge"/>
          <c:yMode val="edge"/>
          <c:x val="0.22345822397200349"/>
          <c:y val="3.1338746111739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y-position (in 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>
                    <a:alpha val="99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8980314960629921"/>
                  <c:y val="-0.4510868798876458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 baseline="0"/>
                      <a:t>y = -8.5812x + 1.81</a:t>
                    </a:r>
                    <a:endParaRPr lang="en-US" sz="10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Sheet1!$N$2:$N$40</c:f>
              <c:numCache>
                <c:formatCode>General</c:formatCode>
                <c:ptCount val="39"/>
                <c:pt idx="0">
                  <c:v>5.4450000000000006E-4</c:v>
                </c:pt>
                <c:pt idx="1">
                  <c:v>1.2500000000000002E-3</c:v>
                </c:pt>
                <c:pt idx="2">
                  <c:v>2.2445000000000004E-3</c:v>
                </c:pt>
                <c:pt idx="3">
                  <c:v>3.4445000000000005E-3</c:v>
                </c:pt>
                <c:pt idx="4">
                  <c:v>5.000000000000001E-3</c:v>
                </c:pt>
                <c:pt idx="5">
                  <c:v>6.8445000000000008E-3</c:v>
                </c:pt>
                <c:pt idx="6">
                  <c:v>8.8445000000000017E-3</c:v>
                </c:pt>
                <c:pt idx="7">
                  <c:v>1.125E-2</c:v>
                </c:pt>
                <c:pt idx="8">
                  <c:v>1.3944500000000002E-2</c:v>
                </c:pt>
                <c:pt idx="9">
                  <c:v>1.6744499999999999E-2</c:v>
                </c:pt>
                <c:pt idx="10">
                  <c:v>2.0000000000000004E-2</c:v>
                </c:pt>
                <c:pt idx="11">
                  <c:v>2.3544499999999999E-2</c:v>
                </c:pt>
                <c:pt idx="12">
                  <c:v>2.7144500000000002E-2</c:v>
                </c:pt>
                <c:pt idx="13">
                  <c:v>3.125E-2</c:v>
                </c:pt>
                <c:pt idx="14">
                  <c:v>3.5644500000000003E-2</c:v>
                </c:pt>
                <c:pt idx="15">
                  <c:v>4.004449999999999E-2</c:v>
                </c:pt>
                <c:pt idx="16">
                  <c:v>4.4999999999999998E-2</c:v>
                </c:pt>
                <c:pt idx="17">
                  <c:v>5.0244500000000004E-2</c:v>
                </c:pt>
                <c:pt idx="18">
                  <c:v>5.5444500000000008E-2</c:v>
                </c:pt>
                <c:pt idx="19">
                  <c:v>6.1249999999999992E-2</c:v>
                </c:pt>
                <c:pt idx="20">
                  <c:v>6.7344500000000002E-2</c:v>
                </c:pt>
                <c:pt idx="21">
                  <c:v>7.3344500000000007E-2</c:v>
                </c:pt>
                <c:pt idx="22">
                  <c:v>8.0000000000000016E-2</c:v>
                </c:pt>
                <c:pt idx="23">
                  <c:v>8.6944499999999994E-2</c:v>
                </c:pt>
                <c:pt idx="24">
                  <c:v>9.3744499999999994E-2</c:v>
                </c:pt>
                <c:pt idx="25">
                  <c:v>0.10125000000000001</c:v>
                </c:pt>
                <c:pt idx="26">
                  <c:v>0.10904450000000002</c:v>
                </c:pt>
                <c:pt idx="27">
                  <c:v>0.1166445</c:v>
                </c:pt>
                <c:pt idx="28">
                  <c:v>0.125</c:v>
                </c:pt>
                <c:pt idx="29">
                  <c:v>0.1336445</c:v>
                </c:pt>
                <c:pt idx="30">
                  <c:v>0.14204450000000002</c:v>
                </c:pt>
                <c:pt idx="31">
                  <c:v>0.15125000000000002</c:v>
                </c:pt>
                <c:pt idx="32">
                  <c:v>0.16074449999999998</c:v>
                </c:pt>
                <c:pt idx="33">
                  <c:v>0.16994449999999997</c:v>
                </c:pt>
                <c:pt idx="34">
                  <c:v>0.18</c:v>
                </c:pt>
                <c:pt idx="35">
                  <c:v>0.1903445</c:v>
                </c:pt>
                <c:pt idx="36">
                  <c:v>0.20034450000000001</c:v>
                </c:pt>
              </c:numCache>
            </c:numRef>
          </c:xVal>
          <c:yVal>
            <c:numRef>
              <c:f>Sheet1!$O$2:$O$40</c:f>
              <c:numCache>
                <c:formatCode>0.00</c:formatCode>
                <c:ptCount val="39"/>
                <c:pt idx="0">
                  <c:v>1.752</c:v>
                </c:pt>
                <c:pt idx="1">
                  <c:v>1.7490000000000001</c:v>
                </c:pt>
                <c:pt idx="2">
                  <c:v>1.75</c:v>
                </c:pt>
                <c:pt idx="3">
                  <c:v>1.7509999999999999</c:v>
                </c:pt>
                <c:pt idx="4">
                  <c:v>1.7430000000000001</c:v>
                </c:pt>
                <c:pt idx="5">
                  <c:v>1.734</c:v>
                </c:pt>
                <c:pt idx="6">
                  <c:v>1.726</c:v>
                </c:pt>
                <c:pt idx="7">
                  <c:v>1.7150000000000001</c:v>
                </c:pt>
                <c:pt idx="8">
                  <c:v>1.6950000000000001</c:v>
                </c:pt>
                <c:pt idx="9">
                  <c:v>1.677</c:v>
                </c:pt>
                <c:pt idx="10">
                  <c:v>1.6519999999999999</c:v>
                </c:pt>
                <c:pt idx="11">
                  <c:v>1.623</c:v>
                </c:pt>
                <c:pt idx="12">
                  <c:v>1.5960000000000001</c:v>
                </c:pt>
                <c:pt idx="13">
                  <c:v>1.5620000000000001</c:v>
                </c:pt>
                <c:pt idx="14">
                  <c:v>1.5309999999999999</c:v>
                </c:pt>
                <c:pt idx="15">
                  <c:v>1.49</c:v>
                </c:pt>
                <c:pt idx="16">
                  <c:v>1.448</c:v>
                </c:pt>
                <c:pt idx="17">
                  <c:v>1.401</c:v>
                </c:pt>
                <c:pt idx="18">
                  <c:v>1.355</c:v>
                </c:pt>
                <c:pt idx="19">
                  <c:v>1.304</c:v>
                </c:pt>
                <c:pt idx="20">
                  <c:v>1.2529999999999999</c:v>
                </c:pt>
                <c:pt idx="21">
                  <c:v>1.1970000000000001</c:v>
                </c:pt>
                <c:pt idx="22">
                  <c:v>1.141</c:v>
                </c:pt>
                <c:pt idx="23">
                  <c:v>1.0780000000000001</c:v>
                </c:pt>
                <c:pt idx="24">
                  <c:v>1.016</c:v>
                </c:pt>
                <c:pt idx="25" formatCode="0.000">
                  <c:v>0.94399999999999995</c:v>
                </c:pt>
                <c:pt idx="26" formatCode="0.000">
                  <c:v>0.878</c:v>
                </c:pt>
                <c:pt idx="27" formatCode="0.000">
                  <c:v>0.81</c:v>
                </c:pt>
                <c:pt idx="28" formatCode="0.000">
                  <c:v>0.73499999999999999</c:v>
                </c:pt>
                <c:pt idx="29" formatCode="0.000">
                  <c:v>0.65900000000000003</c:v>
                </c:pt>
                <c:pt idx="30" formatCode="0.000">
                  <c:v>0.58499999999999996</c:v>
                </c:pt>
                <c:pt idx="31" formatCode="0.000">
                  <c:v>0.505</c:v>
                </c:pt>
                <c:pt idx="32" formatCode="0.000">
                  <c:v>0.42399999999999999</c:v>
                </c:pt>
                <c:pt idx="33" formatCode="0.000">
                  <c:v>0.34</c:v>
                </c:pt>
                <c:pt idx="34" formatCode="0.000">
                  <c:v>0.251</c:v>
                </c:pt>
                <c:pt idx="35" formatCode="0.000">
                  <c:v>0.16</c:v>
                </c:pt>
                <c:pt idx="36" formatCode="0.0000">
                  <c:v>7.4149999999999994E-2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5A-44FA-A4AB-CE0FF80BA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065200"/>
        <c:axId val="1442067120"/>
      </c:scatterChart>
      <c:valAx>
        <c:axId val="144206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𝟏/𝟐 𝐭^𝟐 (in s</a:t>
                </a:r>
                <a:r>
                  <a:rPr lang="en-US" sz="1200" b="1" i="0" u="none" strike="noStrike" kern="1200" baseline="3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2</a:t>
                </a: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)</a:t>
                </a: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40956124234470687"/>
              <c:y val="0.871734989128380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067120"/>
        <c:crosses val="autoZero"/>
        <c:crossBetween val="midCat"/>
      </c:valAx>
      <c:valAx>
        <c:axId val="144206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Y-position, y (in m) 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06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</a:rPr>
              <a:t>Y-velocity, 𝐯_𝐲 (in m/s) vs </a:t>
            </a:r>
            <a:r>
              <a: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Time, t (in s)</a:t>
            </a:r>
            <a:r>
              <a:rPr lang="en-US" sz="1200" b="1" i="0" u="none" strike="noStrike" baseline="0">
                <a:effectLst/>
              </a:rPr>
              <a:t>  </a:t>
            </a:r>
            <a:endParaRPr lang="en-US" sz="12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Sheet1!$S$1</c:f>
              <c:strCache>
                <c:ptCount val="1"/>
                <c:pt idx="0">
                  <c:v>y-velocity (in m/s)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6504811898512682E-2"/>
                  <c:y val="-0.3319384065475172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 baseline="0"/>
                      <a:t>y = -9.5054x + 0.397</a:t>
                    </a:r>
                    <a:endParaRPr lang="en-US" sz="10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Sheet1!$R$2:$R$40</c:f>
              <c:numCache>
                <c:formatCode>0.0000</c:formatCode>
                <c:ptCount val="39"/>
                <c:pt idx="0">
                  <c:v>3.3000000000000002E-2</c:v>
                </c:pt>
                <c:pt idx="1">
                  <c:v>0.05</c:v>
                </c:pt>
                <c:pt idx="2">
                  <c:v>6.7000000000000004E-2</c:v>
                </c:pt>
                <c:pt idx="3">
                  <c:v>8.3000000000000004E-2</c:v>
                </c:pt>
                <c:pt idx="4" formatCode="0.000">
                  <c:v>0.1</c:v>
                </c:pt>
                <c:pt idx="5" formatCode="0.000">
                  <c:v>0.11700000000000001</c:v>
                </c:pt>
                <c:pt idx="6" formatCode="0.000">
                  <c:v>0.13300000000000001</c:v>
                </c:pt>
                <c:pt idx="7" formatCode="0.000">
                  <c:v>0.15</c:v>
                </c:pt>
                <c:pt idx="8" formatCode="0.000">
                  <c:v>0.16700000000000001</c:v>
                </c:pt>
                <c:pt idx="9" formatCode="0.000">
                  <c:v>0.183</c:v>
                </c:pt>
                <c:pt idx="10" formatCode="0.000">
                  <c:v>0.2</c:v>
                </c:pt>
                <c:pt idx="11" formatCode="0.000">
                  <c:v>0.217</c:v>
                </c:pt>
                <c:pt idx="12" formatCode="0.000">
                  <c:v>0.23300000000000001</c:v>
                </c:pt>
                <c:pt idx="13" formatCode="0.000">
                  <c:v>0.25</c:v>
                </c:pt>
                <c:pt idx="14" formatCode="0.000">
                  <c:v>0.26700000000000002</c:v>
                </c:pt>
                <c:pt idx="15" formatCode="0.000">
                  <c:v>0.28299999999999997</c:v>
                </c:pt>
                <c:pt idx="16" formatCode="0.000">
                  <c:v>0.3</c:v>
                </c:pt>
                <c:pt idx="17" formatCode="0.000">
                  <c:v>0.317</c:v>
                </c:pt>
                <c:pt idx="18" formatCode="0.000">
                  <c:v>0.33300000000000002</c:v>
                </c:pt>
                <c:pt idx="19" formatCode="0.000">
                  <c:v>0.35</c:v>
                </c:pt>
                <c:pt idx="20" formatCode="0.000">
                  <c:v>0.36699999999999999</c:v>
                </c:pt>
                <c:pt idx="21" formatCode="0.000">
                  <c:v>0.38300000000000001</c:v>
                </c:pt>
                <c:pt idx="22" formatCode="0.000">
                  <c:v>0.4</c:v>
                </c:pt>
                <c:pt idx="23" formatCode="0.000">
                  <c:v>0.41699999999999998</c:v>
                </c:pt>
                <c:pt idx="24" formatCode="0.000">
                  <c:v>0.433</c:v>
                </c:pt>
                <c:pt idx="25" formatCode="0.000">
                  <c:v>0.45</c:v>
                </c:pt>
                <c:pt idx="26" formatCode="0.000">
                  <c:v>0.46700000000000003</c:v>
                </c:pt>
                <c:pt idx="27" formatCode="0.000">
                  <c:v>0.48299999999999998</c:v>
                </c:pt>
                <c:pt idx="28" formatCode="0.000">
                  <c:v>0.5</c:v>
                </c:pt>
                <c:pt idx="29" formatCode="0.000">
                  <c:v>0.51700000000000002</c:v>
                </c:pt>
                <c:pt idx="30" formatCode="0.000">
                  <c:v>0.53300000000000003</c:v>
                </c:pt>
                <c:pt idx="31" formatCode="0.000">
                  <c:v>0.55000000000000004</c:v>
                </c:pt>
                <c:pt idx="32" formatCode="0.000">
                  <c:v>0.56699999999999995</c:v>
                </c:pt>
                <c:pt idx="33" formatCode="0.000">
                  <c:v>0.58299999999999996</c:v>
                </c:pt>
                <c:pt idx="34" formatCode="0.000">
                  <c:v>0.6</c:v>
                </c:pt>
                <c:pt idx="35" formatCode="0.000">
                  <c:v>0.61699999999999999</c:v>
                </c:pt>
                <c:pt idx="36" formatCode="0.000">
                  <c:v>0.63300000000000001</c:v>
                </c:pt>
              </c:numCache>
            </c:numRef>
          </c:xVal>
          <c:yVal>
            <c:numRef>
              <c:f>Sheet1!$S$2:$S$40</c:f>
              <c:numCache>
                <c:formatCode>0.0000</c:formatCode>
                <c:ptCount val="39"/>
                <c:pt idx="0" formatCode="0.00">
                  <c:v>0</c:v>
                </c:pt>
                <c:pt idx="1">
                  <c:v>-4.9340000000000002E-2</c:v>
                </c:pt>
                <c:pt idx="2">
                  <c:v>6.8489999999999995E-2</c:v>
                </c:pt>
                <c:pt idx="3" formatCode="0.000">
                  <c:v>-0.22800000000000001</c:v>
                </c:pt>
                <c:pt idx="4" formatCode="0.000">
                  <c:v>-0.502</c:v>
                </c:pt>
                <c:pt idx="5" formatCode="0.000">
                  <c:v>-0.502</c:v>
                </c:pt>
                <c:pt idx="6" formatCode="0.000">
                  <c:v>-0.59399999999999997</c:v>
                </c:pt>
                <c:pt idx="7" formatCode="0.000">
                  <c:v>-0.93600000000000005</c:v>
                </c:pt>
                <c:pt idx="8" formatCode="0.00">
                  <c:v>-1.1419999999999999</c:v>
                </c:pt>
                <c:pt idx="9" formatCode="0.00">
                  <c:v>-1.2789999999999999</c:v>
                </c:pt>
                <c:pt idx="10" formatCode="0.00">
                  <c:v>-1.5980000000000001</c:v>
                </c:pt>
                <c:pt idx="11" formatCode="0.00">
                  <c:v>-1.69</c:v>
                </c:pt>
                <c:pt idx="12" formatCode="0.00">
                  <c:v>-1.8280000000000001</c:v>
                </c:pt>
                <c:pt idx="13" formatCode="0.00">
                  <c:v>-1.9590000000000001</c:v>
                </c:pt>
                <c:pt idx="14" formatCode="0.00">
                  <c:v>-2.1629999999999998</c:v>
                </c:pt>
                <c:pt idx="15" formatCode="0.00">
                  <c:v>-2.4700000000000002</c:v>
                </c:pt>
                <c:pt idx="16" formatCode="0.00">
                  <c:v>-2.6640000000000001</c:v>
                </c:pt>
                <c:pt idx="17" formatCode="0.00">
                  <c:v>-2.7850000000000001</c:v>
                </c:pt>
                <c:pt idx="18" formatCode="0.00">
                  <c:v>-2.931</c:v>
                </c:pt>
                <c:pt idx="19" formatCode="0.00">
                  <c:v>-3.0750000000000002</c:v>
                </c:pt>
                <c:pt idx="20" formatCode="0.00">
                  <c:v>-3.19</c:v>
                </c:pt>
                <c:pt idx="21" formatCode="0.00">
                  <c:v>-3.37</c:v>
                </c:pt>
                <c:pt idx="22" formatCode="0.00">
                  <c:v>-3.5880000000000001</c:v>
                </c:pt>
                <c:pt idx="23" formatCode="0.00">
                  <c:v>-3.7290000000000001</c:v>
                </c:pt>
                <c:pt idx="24" formatCode="0.00">
                  <c:v>-4.0110000000000001</c:v>
                </c:pt>
                <c:pt idx="25" formatCode="0.00">
                  <c:v>-4.1509999999999998</c:v>
                </c:pt>
                <c:pt idx="26" formatCode="0.00">
                  <c:v>-4.0110000000000001</c:v>
                </c:pt>
                <c:pt idx="27" formatCode="0.00">
                  <c:v>-4.2919999999999998</c:v>
                </c:pt>
                <c:pt idx="28" formatCode="0.00">
                  <c:v>-4.5490000000000004</c:v>
                </c:pt>
                <c:pt idx="29" formatCode="0.00">
                  <c:v>-4.51</c:v>
                </c:pt>
                <c:pt idx="30" formatCode="0.00">
                  <c:v>-4.6130000000000004</c:v>
                </c:pt>
                <c:pt idx="31" formatCode="0.00">
                  <c:v>-4.8179999999999996</c:v>
                </c:pt>
                <c:pt idx="32" formatCode="0.00">
                  <c:v>-4.9589999999999996</c:v>
                </c:pt>
                <c:pt idx="33" formatCode="0.00">
                  <c:v>-5.1890000000000001</c:v>
                </c:pt>
                <c:pt idx="34" formatCode="0.00">
                  <c:v>-5.407</c:v>
                </c:pt>
                <c:pt idx="35" formatCode="0.00">
                  <c:v>-5.3049999999999997</c:v>
                </c:pt>
                <c:pt idx="36" formatCode="0.00">
                  <c:v>-4.5229999999999997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FA-4417-BB01-91CDCECDD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815904"/>
        <c:axId val="1445816384"/>
      </c:scatterChart>
      <c:valAx>
        <c:axId val="144581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Time, t (in s)</a:t>
                </a: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  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816384"/>
        <c:crosses val="autoZero"/>
        <c:crossBetween val="midCat"/>
      </c:valAx>
      <c:valAx>
        <c:axId val="144581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Y-velocity, 𝐯_𝐲 (in m/s) 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815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435429</xdr:colOff>
      <xdr:row>0</xdr:row>
      <xdr:rowOff>84364</xdr:rowOff>
    </xdr:from>
    <xdr:to>
      <xdr:col>33</xdr:col>
      <xdr:colOff>130629</xdr:colOff>
      <xdr:row>13</xdr:row>
      <xdr:rowOff>185057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D6138A-87AD-4510-1DA1-620DFCD06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491021</xdr:colOff>
      <xdr:row>15</xdr:row>
      <xdr:rowOff>94537</xdr:rowOff>
    </xdr:from>
    <xdr:to>
      <xdr:col>33</xdr:col>
      <xdr:colOff>186221</xdr:colOff>
      <xdr:row>30</xdr:row>
      <xdr:rowOff>148325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34AC7C-D6B7-217F-197B-E66735738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509141</xdr:colOff>
      <xdr:row>32</xdr:row>
      <xdr:rowOff>39418</xdr:rowOff>
    </xdr:from>
    <xdr:to>
      <xdr:col>33</xdr:col>
      <xdr:colOff>563217</xdr:colOff>
      <xdr:row>48</xdr:row>
      <xdr:rowOff>86139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04AC77-4D35-461C-B1FB-9AB701C6A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2"/>
  <sheetViews>
    <sheetView tabSelected="1" topLeftCell="S23" zoomScaleNormal="100" workbookViewId="0">
      <selection activeCell="AJ49" sqref="AJ49"/>
    </sheetView>
  </sheetViews>
  <sheetFormatPr defaultRowHeight="14.4" x14ac:dyDescent="0.3"/>
  <cols>
    <col min="1" max="1" width="10.5546875" bestFit="1" customWidth="1"/>
    <col min="2" max="2" width="11.21875" bestFit="1" customWidth="1"/>
    <col min="3" max="3" width="10.5546875" bestFit="1" customWidth="1"/>
    <col min="4" max="5" width="11.21875" bestFit="1" customWidth="1"/>
    <col min="7" max="7" width="6.77734375" customWidth="1"/>
    <col min="8" max="9" width="9.5546875" customWidth="1"/>
    <col min="10" max="10" width="10.44140625" customWidth="1"/>
  </cols>
  <sheetData>
    <row r="1" spans="1:23" ht="34.799999999999997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s="7" t="s">
        <v>5</v>
      </c>
      <c r="H1" s="8" t="s">
        <v>6</v>
      </c>
      <c r="I1" s="9" t="s">
        <v>7</v>
      </c>
      <c r="J1" s="10" t="s">
        <v>8</v>
      </c>
      <c r="N1" s="10" t="s">
        <v>8</v>
      </c>
      <c r="O1" s="8" t="s">
        <v>6</v>
      </c>
      <c r="R1" s="7" t="s">
        <v>5</v>
      </c>
      <c r="S1" s="9" t="s">
        <v>7</v>
      </c>
      <c r="V1" s="7" t="s">
        <v>5</v>
      </c>
      <c r="W1" s="8" t="s">
        <v>6</v>
      </c>
    </row>
    <row r="2" spans="1:23" x14ac:dyDescent="0.3">
      <c r="A2" s="4">
        <v>3.3000000000000002E-2</v>
      </c>
      <c r="B2" s="3">
        <v>-9.0639999999999991E-3</v>
      </c>
      <c r="C2" s="6">
        <v>1.752</v>
      </c>
      <c r="D2" s="6">
        <v>0</v>
      </c>
      <c r="E2" s="6">
        <v>0</v>
      </c>
      <c r="G2" s="11">
        <v>3.3000000000000002E-2</v>
      </c>
      <c r="H2" s="12">
        <v>1.752</v>
      </c>
      <c r="I2" s="13">
        <v>0</v>
      </c>
      <c r="J2" s="14">
        <f>G2*G2/2</f>
        <v>5.4450000000000006E-4</v>
      </c>
      <c r="N2" s="14">
        <f>G2*G2/2</f>
        <v>5.4450000000000006E-4</v>
      </c>
      <c r="O2" s="12">
        <v>1.752</v>
      </c>
      <c r="R2" s="11">
        <v>3.3000000000000002E-2</v>
      </c>
      <c r="S2" s="13">
        <v>0</v>
      </c>
      <c r="V2" s="11">
        <v>3.3000000000000002E-2</v>
      </c>
      <c r="W2" s="12">
        <v>1.752</v>
      </c>
    </row>
    <row r="3" spans="1:23" x14ac:dyDescent="0.3">
      <c r="A3" s="4">
        <v>0.05</v>
      </c>
      <c r="B3" s="3">
        <v>-9.1330000000000005E-3</v>
      </c>
      <c r="C3" s="6">
        <v>1.7490000000000001</v>
      </c>
      <c r="D3" s="4">
        <v>2.0789999999999999E-2</v>
      </c>
      <c r="E3" s="4">
        <v>-4.9340000000000002E-2</v>
      </c>
      <c r="G3" s="11">
        <v>0.05</v>
      </c>
      <c r="H3" s="12">
        <v>1.7490000000000001</v>
      </c>
      <c r="I3" s="15">
        <v>-4.9340000000000002E-2</v>
      </c>
      <c r="J3" s="14">
        <f t="shared" ref="J3:J38" si="0">G3*G3/2</f>
        <v>1.2500000000000002E-3</v>
      </c>
      <c r="N3" s="14">
        <f t="shared" ref="N3:N38" si="1">G3*G3/2</f>
        <v>1.2500000000000002E-3</v>
      </c>
      <c r="O3" s="12">
        <v>1.7490000000000001</v>
      </c>
      <c r="R3" s="11">
        <v>0.05</v>
      </c>
      <c r="S3" s="15">
        <v>-4.9340000000000002E-2</v>
      </c>
      <c r="V3" s="11">
        <v>0.05</v>
      </c>
      <c r="W3" s="12">
        <v>1.7490000000000001</v>
      </c>
    </row>
    <row r="4" spans="1:23" x14ac:dyDescent="0.3">
      <c r="A4" s="4">
        <v>6.7000000000000004E-2</v>
      </c>
      <c r="B4" s="3">
        <v>-8.371E-3</v>
      </c>
      <c r="C4" s="6">
        <v>1.75</v>
      </c>
      <c r="D4" s="6">
        <v>0</v>
      </c>
      <c r="E4" s="4">
        <v>6.8489999999999995E-2</v>
      </c>
      <c r="G4" s="11">
        <v>6.7000000000000004E-2</v>
      </c>
      <c r="H4" s="12">
        <v>1.75</v>
      </c>
      <c r="I4" s="15">
        <v>6.8489999999999995E-2</v>
      </c>
      <c r="J4" s="16">
        <f t="shared" si="0"/>
        <v>2.2445000000000004E-3</v>
      </c>
      <c r="N4" s="14">
        <f t="shared" si="1"/>
        <v>2.2445000000000004E-3</v>
      </c>
      <c r="O4" s="12">
        <v>1.75</v>
      </c>
      <c r="R4" s="11">
        <v>6.7000000000000004E-2</v>
      </c>
      <c r="S4" s="15">
        <v>6.8489999999999995E-2</v>
      </c>
      <c r="V4" s="11">
        <v>6.7000000000000004E-2</v>
      </c>
      <c r="W4" s="12">
        <v>1.75</v>
      </c>
    </row>
    <row r="5" spans="1:23" x14ac:dyDescent="0.3">
      <c r="A5" s="4">
        <v>8.3000000000000004E-2</v>
      </c>
      <c r="B5" s="3">
        <v>-9.1330000000000005E-3</v>
      </c>
      <c r="C5" s="6">
        <v>1.7509999999999999</v>
      </c>
      <c r="D5" s="4">
        <v>-2.283E-2</v>
      </c>
      <c r="E5" s="5">
        <v>-0.22800000000000001</v>
      </c>
      <c r="G5" s="11">
        <v>8.3000000000000004E-2</v>
      </c>
      <c r="H5" s="12">
        <v>1.7509999999999999</v>
      </c>
      <c r="I5" s="17">
        <v>-0.22800000000000001</v>
      </c>
      <c r="J5" s="16">
        <f t="shared" si="0"/>
        <v>3.4445000000000005E-3</v>
      </c>
      <c r="N5" s="14">
        <f t="shared" si="1"/>
        <v>3.4445000000000005E-3</v>
      </c>
      <c r="O5" s="12">
        <v>1.7509999999999999</v>
      </c>
      <c r="R5" s="11">
        <v>8.3000000000000004E-2</v>
      </c>
      <c r="S5" s="17">
        <v>-0.22800000000000001</v>
      </c>
      <c r="V5" s="11">
        <v>8.3000000000000004E-2</v>
      </c>
      <c r="W5" s="12">
        <v>1.7509999999999999</v>
      </c>
    </row>
    <row r="6" spans="1:23" x14ac:dyDescent="0.3">
      <c r="A6" s="5">
        <v>0.1</v>
      </c>
      <c r="B6" s="3">
        <v>-9.1330000000000005E-3</v>
      </c>
      <c r="C6" s="6">
        <v>1.7430000000000001</v>
      </c>
      <c r="D6" s="4">
        <v>-6.8489999999999995E-2</v>
      </c>
      <c r="E6" s="5">
        <v>-0.502</v>
      </c>
      <c r="G6" s="18">
        <v>0.1</v>
      </c>
      <c r="H6" s="12">
        <v>1.7430000000000001</v>
      </c>
      <c r="I6" s="17">
        <v>-0.502</v>
      </c>
      <c r="J6" s="16">
        <f t="shared" si="0"/>
        <v>5.000000000000001E-3</v>
      </c>
      <c r="N6" s="14">
        <f t="shared" si="1"/>
        <v>5.000000000000001E-3</v>
      </c>
      <c r="O6" s="12">
        <v>1.7430000000000001</v>
      </c>
      <c r="R6" s="18">
        <v>0.1</v>
      </c>
      <c r="S6" s="17">
        <v>-0.502</v>
      </c>
      <c r="V6" s="18">
        <v>0.1</v>
      </c>
      <c r="W6" s="12">
        <v>1.7430000000000001</v>
      </c>
    </row>
    <row r="7" spans="1:23" x14ac:dyDescent="0.3">
      <c r="A7" s="5">
        <v>0.11700000000000001</v>
      </c>
      <c r="B7" s="4">
        <v>-1.142E-2</v>
      </c>
      <c r="C7" s="6">
        <v>1.734</v>
      </c>
      <c r="D7" s="6">
        <v>0</v>
      </c>
      <c r="E7" s="5">
        <v>-0.502</v>
      </c>
      <c r="G7" s="18">
        <v>0.11700000000000001</v>
      </c>
      <c r="H7" s="12">
        <v>1.734</v>
      </c>
      <c r="I7" s="17">
        <v>-0.502</v>
      </c>
      <c r="J7" s="16">
        <f t="shared" si="0"/>
        <v>6.8445000000000008E-3</v>
      </c>
      <c r="N7" s="14">
        <f t="shared" si="1"/>
        <v>6.8445000000000008E-3</v>
      </c>
      <c r="O7" s="12">
        <v>1.734</v>
      </c>
      <c r="R7" s="18">
        <v>0.11700000000000001</v>
      </c>
      <c r="S7" s="17">
        <v>-0.502</v>
      </c>
      <c r="V7" s="18">
        <v>0.11700000000000001</v>
      </c>
      <c r="W7" s="12">
        <v>1.734</v>
      </c>
    </row>
    <row r="8" spans="1:23" x14ac:dyDescent="0.3">
      <c r="A8" s="5">
        <v>0.13300000000000001</v>
      </c>
      <c r="B8" s="3">
        <v>-9.1330000000000005E-3</v>
      </c>
      <c r="C8" s="6">
        <v>1.726</v>
      </c>
      <c r="D8" s="6">
        <v>0</v>
      </c>
      <c r="E8" s="5">
        <v>-0.59399999999999997</v>
      </c>
      <c r="G8" s="18">
        <v>0.13300000000000001</v>
      </c>
      <c r="H8" s="12">
        <v>1.726</v>
      </c>
      <c r="I8" s="17">
        <v>-0.59399999999999997</v>
      </c>
      <c r="J8" s="16">
        <f t="shared" si="0"/>
        <v>8.8445000000000017E-3</v>
      </c>
      <c r="N8" s="14">
        <f t="shared" si="1"/>
        <v>8.8445000000000017E-3</v>
      </c>
      <c r="O8" s="12">
        <v>1.726</v>
      </c>
      <c r="R8" s="18">
        <v>0.13300000000000001</v>
      </c>
      <c r="S8" s="17">
        <v>-0.59399999999999997</v>
      </c>
      <c r="V8" s="18">
        <v>0.13300000000000001</v>
      </c>
      <c r="W8" s="12">
        <v>1.726</v>
      </c>
    </row>
    <row r="9" spans="1:23" x14ac:dyDescent="0.3">
      <c r="A9" s="5">
        <v>0.15</v>
      </c>
      <c r="B9" s="4">
        <v>-1.142E-2</v>
      </c>
      <c r="C9" s="6">
        <v>1.7150000000000001</v>
      </c>
      <c r="D9" s="4">
        <v>-6.8489999999999995E-2</v>
      </c>
      <c r="E9" s="5">
        <v>-0.93600000000000005</v>
      </c>
      <c r="G9" s="18">
        <v>0.15</v>
      </c>
      <c r="H9" s="12">
        <v>1.7150000000000001</v>
      </c>
      <c r="I9" s="17">
        <v>-0.93600000000000005</v>
      </c>
      <c r="J9" s="19">
        <f t="shared" si="0"/>
        <v>1.125E-2</v>
      </c>
      <c r="N9" s="14">
        <f t="shared" si="1"/>
        <v>1.125E-2</v>
      </c>
      <c r="O9" s="12">
        <v>1.7150000000000001</v>
      </c>
      <c r="R9" s="18">
        <v>0.15</v>
      </c>
      <c r="S9" s="17">
        <v>-0.93600000000000005</v>
      </c>
      <c r="V9" s="18">
        <v>0.15</v>
      </c>
      <c r="W9" s="12">
        <v>1.7150000000000001</v>
      </c>
    </row>
    <row r="10" spans="1:23" x14ac:dyDescent="0.3">
      <c r="A10" s="5">
        <v>0.16700000000000001</v>
      </c>
      <c r="B10" s="4">
        <v>-1.142E-2</v>
      </c>
      <c r="C10" s="6">
        <v>1.6950000000000001</v>
      </c>
      <c r="D10" s="4">
        <v>2.283E-2</v>
      </c>
      <c r="E10" s="6">
        <v>-1.1419999999999999</v>
      </c>
      <c r="G10" s="18">
        <v>0.16700000000000001</v>
      </c>
      <c r="H10" s="12">
        <v>1.6950000000000001</v>
      </c>
      <c r="I10" s="13">
        <v>-1.1419999999999999</v>
      </c>
      <c r="J10" s="19">
        <f t="shared" si="0"/>
        <v>1.3944500000000002E-2</v>
      </c>
      <c r="N10" s="14">
        <f t="shared" si="1"/>
        <v>1.3944500000000002E-2</v>
      </c>
      <c r="O10" s="12">
        <v>1.6950000000000001</v>
      </c>
      <c r="R10" s="18">
        <v>0.16700000000000001</v>
      </c>
      <c r="S10" s="13">
        <v>-1.1419999999999999</v>
      </c>
      <c r="V10" s="18">
        <v>0.16700000000000001</v>
      </c>
      <c r="W10" s="12">
        <v>1.6950000000000001</v>
      </c>
    </row>
    <row r="11" spans="1:23" x14ac:dyDescent="0.3">
      <c r="A11" s="5">
        <v>0.183</v>
      </c>
      <c r="B11" s="4">
        <v>-1.065E-2</v>
      </c>
      <c r="C11" s="6">
        <v>1.677</v>
      </c>
      <c r="D11" s="4">
        <v>4.5659999999999999E-2</v>
      </c>
      <c r="E11" s="6">
        <v>-1.2789999999999999</v>
      </c>
      <c r="G11" s="18">
        <v>0.183</v>
      </c>
      <c r="H11" s="12">
        <v>1.677</v>
      </c>
      <c r="I11" s="13">
        <v>-1.2789999999999999</v>
      </c>
      <c r="J11" s="19">
        <f t="shared" si="0"/>
        <v>1.6744499999999999E-2</v>
      </c>
      <c r="N11" s="14">
        <f t="shared" si="1"/>
        <v>1.6744499999999999E-2</v>
      </c>
      <c r="O11" s="12">
        <v>1.677</v>
      </c>
      <c r="R11" s="18">
        <v>0.183</v>
      </c>
      <c r="S11" s="13">
        <v>-1.2789999999999999</v>
      </c>
      <c r="V11" s="18">
        <v>0.183</v>
      </c>
      <c r="W11" s="12">
        <v>1.677</v>
      </c>
    </row>
    <row r="12" spans="1:23" x14ac:dyDescent="0.3">
      <c r="A12" s="5">
        <v>0.2</v>
      </c>
      <c r="B12" s="3">
        <v>-9.894E-3</v>
      </c>
      <c r="C12" s="6">
        <v>1.6519999999999999</v>
      </c>
      <c r="D12" s="4">
        <v>-2.283E-2</v>
      </c>
      <c r="E12" s="6">
        <v>-1.5980000000000001</v>
      </c>
      <c r="G12" s="18">
        <v>0.2</v>
      </c>
      <c r="H12" s="12">
        <v>1.6519999999999999</v>
      </c>
      <c r="I12" s="13">
        <v>-1.5980000000000001</v>
      </c>
      <c r="J12" s="19">
        <f t="shared" si="0"/>
        <v>2.0000000000000004E-2</v>
      </c>
      <c r="N12" s="14">
        <f t="shared" si="1"/>
        <v>2.0000000000000004E-2</v>
      </c>
      <c r="O12" s="12">
        <v>1.6519999999999999</v>
      </c>
      <c r="R12" s="18">
        <v>0.2</v>
      </c>
      <c r="S12" s="13">
        <v>-1.5980000000000001</v>
      </c>
      <c r="V12" s="18">
        <v>0.2</v>
      </c>
      <c r="W12" s="12">
        <v>1.6519999999999999</v>
      </c>
    </row>
    <row r="13" spans="1:23" x14ac:dyDescent="0.3">
      <c r="A13" s="5">
        <v>0.217</v>
      </c>
      <c r="B13" s="4">
        <v>-1.142E-2</v>
      </c>
      <c r="C13" s="6">
        <v>1.623</v>
      </c>
      <c r="D13" s="4">
        <v>-4.5659999999999999E-2</v>
      </c>
      <c r="E13" s="6">
        <v>-1.69</v>
      </c>
      <c r="G13" s="18">
        <v>0.217</v>
      </c>
      <c r="H13" s="12">
        <v>1.623</v>
      </c>
      <c r="I13" s="13">
        <v>-1.69</v>
      </c>
      <c r="J13" s="19">
        <f t="shared" si="0"/>
        <v>2.3544499999999999E-2</v>
      </c>
      <c r="N13" s="14">
        <f t="shared" si="1"/>
        <v>2.3544499999999999E-2</v>
      </c>
      <c r="O13" s="12">
        <v>1.623</v>
      </c>
      <c r="R13" s="18">
        <v>0.217</v>
      </c>
      <c r="S13" s="13">
        <v>-1.69</v>
      </c>
      <c r="V13" s="18">
        <v>0.217</v>
      </c>
      <c r="W13" s="12">
        <v>1.623</v>
      </c>
    </row>
    <row r="14" spans="1:23" x14ac:dyDescent="0.3">
      <c r="A14" s="5">
        <v>0.23300000000000001</v>
      </c>
      <c r="B14" s="4">
        <v>-1.142E-2</v>
      </c>
      <c r="C14" s="6">
        <v>1.5960000000000001</v>
      </c>
      <c r="D14" s="4">
        <v>-5.5570000000000001E-2</v>
      </c>
      <c r="E14" s="6">
        <v>-1.8280000000000001</v>
      </c>
      <c r="G14" s="18">
        <v>0.23300000000000001</v>
      </c>
      <c r="H14" s="12">
        <v>1.5960000000000001</v>
      </c>
      <c r="I14" s="13">
        <v>-1.8280000000000001</v>
      </c>
      <c r="J14" s="19">
        <f t="shared" si="0"/>
        <v>2.7144500000000002E-2</v>
      </c>
      <c r="N14" s="14">
        <f t="shared" si="1"/>
        <v>2.7144500000000002E-2</v>
      </c>
      <c r="O14" s="12">
        <v>1.5960000000000001</v>
      </c>
      <c r="R14" s="18">
        <v>0.23300000000000001</v>
      </c>
      <c r="S14" s="13">
        <v>-1.8280000000000001</v>
      </c>
      <c r="V14" s="18">
        <v>0.23300000000000001</v>
      </c>
      <c r="W14" s="12">
        <v>1.5960000000000001</v>
      </c>
    </row>
    <row r="15" spans="1:23" x14ac:dyDescent="0.3">
      <c r="A15" s="5">
        <v>0.25</v>
      </c>
      <c r="B15" s="4">
        <v>-1.3270000000000001E-2</v>
      </c>
      <c r="C15" s="6">
        <v>1.5620000000000001</v>
      </c>
      <c r="D15" s="3">
        <v>9.0030000000000006E-3</v>
      </c>
      <c r="E15" s="6">
        <v>-1.9590000000000001</v>
      </c>
      <c r="G15" s="18">
        <v>0.25</v>
      </c>
      <c r="H15" s="12">
        <v>1.5620000000000001</v>
      </c>
      <c r="I15" s="13">
        <v>-1.9590000000000001</v>
      </c>
      <c r="J15" s="19">
        <f t="shared" si="0"/>
        <v>3.125E-2</v>
      </c>
      <c r="N15" s="14">
        <f t="shared" si="1"/>
        <v>3.125E-2</v>
      </c>
      <c r="O15" s="12">
        <v>1.5620000000000001</v>
      </c>
      <c r="R15" s="18">
        <v>0.25</v>
      </c>
      <c r="S15" s="13">
        <v>-1.9590000000000001</v>
      </c>
      <c r="V15" s="18">
        <v>0.25</v>
      </c>
      <c r="W15" s="12">
        <v>1.5620000000000001</v>
      </c>
    </row>
    <row r="16" spans="1:23" x14ac:dyDescent="0.3">
      <c r="A16" s="5">
        <v>0.26700000000000002</v>
      </c>
      <c r="B16" s="4">
        <v>-1.112E-2</v>
      </c>
      <c r="C16" s="6">
        <v>1.5309999999999999</v>
      </c>
      <c r="D16" s="4">
        <v>8.072E-2</v>
      </c>
      <c r="E16" s="6">
        <v>-2.1629999999999998</v>
      </c>
      <c r="G16" s="18">
        <v>0.26700000000000002</v>
      </c>
      <c r="H16" s="12">
        <v>1.5309999999999999</v>
      </c>
      <c r="I16" s="13">
        <v>-2.1629999999999998</v>
      </c>
      <c r="J16" s="19">
        <f t="shared" si="0"/>
        <v>3.5644500000000003E-2</v>
      </c>
      <c r="N16" s="14">
        <f t="shared" si="1"/>
        <v>3.5644500000000003E-2</v>
      </c>
      <c r="O16" s="12">
        <v>1.5309999999999999</v>
      </c>
      <c r="R16" s="18">
        <v>0.26700000000000002</v>
      </c>
      <c r="S16" s="13">
        <v>-2.1629999999999998</v>
      </c>
      <c r="V16" s="18">
        <v>0.26700000000000002</v>
      </c>
      <c r="W16" s="12">
        <v>1.5309999999999999</v>
      </c>
    </row>
    <row r="17" spans="1:38" x14ac:dyDescent="0.3">
      <c r="A17" s="5">
        <v>0.28299999999999997</v>
      </c>
      <c r="B17" s="4">
        <v>-1.0580000000000001E-2</v>
      </c>
      <c r="C17" s="6">
        <v>1.49</v>
      </c>
      <c r="D17" s="5">
        <v>0.113</v>
      </c>
      <c r="E17" s="6">
        <v>-2.4700000000000002</v>
      </c>
      <c r="G17" s="18">
        <v>0.28299999999999997</v>
      </c>
      <c r="H17" s="12">
        <v>1.49</v>
      </c>
      <c r="I17" s="13">
        <v>-2.4700000000000002</v>
      </c>
      <c r="J17" s="19">
        <f t="shared" si="0"/>
        <v>4.004449999999999E-2</v>
      </c>
      <c r="N17" s="14">
        <f t="shared" si="1"/>
        <v>4.004449999999999E-2</v>
      </c>
      <c r="O17" s="12">
        <v>1.49</v>
      </c>
      <c r="R17" s="18">
        <v>0.28299999999999997</v>
      </c>
      <c r="S17" s="13">
        <v>-2.4700000000000002</v>
      </c>
      <c r="V17" s="18">
        <v>0.28299999999999997</v>
      </c>
      <c r="W17" s="12">
        <v>1.49</v>
      </c>
    </row>
    <row r="18" spans="1:38" x14ac:dyDescent="0.3">
      <c r="A18" s="5">
        <v>0.3</v>
      </c>
      <c r="B18" s="3">
        <v>-7.3489999999999996E-3</v>
      </c>
      <c r="C18" s="6">
        <v>1.448</v>
      </c>
      <c r="D18" s="4">
        <v>3.2289999999999999E-2</v>
      </c>
      <c r="E18" s="6">
        <v>-2.6640000000000001</v>
      </c>
      <c r="G18" s="18">
        <v>0.3</v>
      </c>
      <c r="H18" s="12">
        <v>1.448</v>
      </c>
      <c r="I18" s="13">
        <v>-2.6640000000000001</v>
      </c>
      <c r="J18" s="19">
        <f t="shared" si="0"/>
        <v>4.4999999999999998E-2</v>
      </c>
      <c r="N18" s="14">
        <f t="shared" si="1"/>
        <v>4.4999999999999998E-2</v>
      </c>
      <c r="O18" s="12">
        <v>1.448</v>
      </c>
      <c r="R18" s="18">
        <v>0.3</v>
      </c>
      <c r="S18" s="13">
        <v>-2.6640000000000001</v>
      </c>
      <c r="V18" s="18">
        <v>0.3</v>
      </c>
      <c r="W18" s="12">
        <v>1.448</v>
      </c>
    </row>
    <row r="19" spans="1:38" x14ac:dyDescent="0.3">
      <c r="A19" s="5">
        <v>0.317</v>
      </c>
      <c r="B19" s="3">
        <v>-9.5010000000000008E-3</v>
      </c>
      <c r="C19" s="6">
        <v>1.401</v>
      </c>
      <c r="D19" s="4">
        <v>-1.627E-2</v>
      </c>
      <c r="E19" s="6">
        <v>-2.7850000000000001</v>
      </c>
      <c r="G19" s="18">
        <v>0.317</v>
      </c>
      <c r="H19" s="12">
        <v>1.401</v>
      </c>
      <c r="I19" s="13">
        <v>-2.7850000000000001</v>
      </c>
      <c r="J19" s="19">
        <f t="shared" si="0"/>
        <v>5.0244500000000004E-2</v>
      </c>
      <c r="N19" s="14">
        <f t="shared" si="1"/>
        <v>5.0244500000000004E-2</v>
      </c>
      <c r="O19" s="12">
        <v>1.401</v>
      </c>
      <c r="R19" s="18">
        <v>0.317</v>
      </c>
      <c r="S19" s="13">
        <v>-2.7850000000000001</v>
      </c>
      <c r="V19" s="18">
        <v>0.317</v>
      </c>
      <c r="W19" s="12">
        <v>1.401</v>
      </c>
    </row>
    <row r="20" spans="1:38" x14ac:dyDescent="0.3">
      <c r="A20" s="5">
        <v>0.33300000000000002</v>
      </c>
      <c r="B20" s="3">
        <v>-7.8910000000000004E-3</v>
      </c>
      <c r="C20" s="6">
        <v>1.355</v>
      </c>
      <c r="D20" s="4">
        <v>8.6739999999999998E-2</v>
      </c>
      <c r="E20" s="6">
        <v>-2.931</v>
      </c>
      <c r="G20" s="18">
        <v>0.33300000000000002</v>
      </c>
      <c r="H20" s="12">
        <v>1.355</v>
      </c>
      <c r="I20" s="13">
        <v>-2.931</v>
      </c>
      <c r="J20" s="19">
        <f t="shared" si="0"/>
        <v>5.5444500000000008E-2</v>
      </c>
      <c r="N20" s="14">
        <f t="shared" si="1"/>
        <v>5.5444500000000008E-2</v>
      </c>
      <c r="O20" s="12">
        <v>1.355</v>
      </c>
      <c r="R20" s="18">
        <v>0.33300000000000002</v>
      </c>
      <c r="S20" s="13">
        <v>-2.931</v>
      </c>
      <c r="V20" s="18">
        <v>0.33300000000000002</v>
      </c>
      <c r="W20" s="12">
        <v>1.355</v>
      </c>
    </row>
    <row r="21" spans="1:38" x14ac:dyDescent="0.3">
      <c r="A21" s="5">
        <v>0.35</v>
      </c>
      <c r="B21" s="3">
        <v>-6.6100000000000004E-3</v>
      </c>
      <c r="C21" s="6">
        <v>1.304</v>
      </c>
      <c r="D21" s="4">
        <v>5.1249999999999997E-2</v>
      </c>
      <c r="E21" s="6">
        <v>-3.0750000000000002</v>
      </c>
      <c r="G21" s="18">
        <v>0.35</v>
      </c>
      <c r="H21" s="12">
        <v>1.304</v>
      </c>
      <c r="I21" s="13">
        <v>-3.0750000000000002</v>
      </c>
      <c r="J21" s="19">
        <f t="shared" si="0"/>
        <v>6.1249999999999992E-2</v>
      </c>
      <c r="N21" s="14">
        <f t="shared" si="1"/>
        <v>6.1249999999999992E-2</v>
      </c>
      <c r="O21" s="12">
        <v>1.304</v>
      </c>
      <c r="R21" s="18">
        <v>0.35</v>
      </c>
      <c r="S21" s="13">
        <v>-3.0750000000000002</v>
      </c>
      <c r="V21" s="18">
        <v>0.35</v>
      </c>
      <c r="W21" s="12">
        <v>1.304</v>
      </c>
    </row>
    <row r="22" spans="1:38" x14ac:dyDescent="0.3">
      <c r="A22" s="5">
        <v>0.36699999999999999</v>
      </c>
      <c r="B22" s="3">
        <v>-6.1830000000000001E-3</v>
      </c>
      <c r="C22" s="6">
        <v>1.2529999999999999</v>
      </c>
      <c r="D22" s="4">
        <v>7.6880000000000004E-2</v>
      </c>
      <c r="E22" s="6">
        <v>-3.19</v>
      </c>
      <c r="G22" s="18">
        <v>0.36699999999999999</v>
      </c>
      <c r="H22" s="12">
        <v>1.2529999999999999</v>
      </c>
      <c r="I22" s="13">
        <v>-3.19</v>
      </c>
      <c r="J22" s="19">
        <f t="shared" si="0"/>
        <v>6.7344500000000002E-2</v>
      </c>
      <c r="N22" s="14">
        <f t="shared" si="1"/>
        <v>6.7344500000000002E-2</v>
      </c>
      <c r="O22" s="12">
        <v>1.2529999999999999</v>
      </c>
      <c r="R22" s="18">
        <v>0.36699999999999999</v>
      </c>
      <c r="S22" s="13">
        <v>-3.19</v>
      </c>
      <c r="V22" s="18">
        <v>0.36699999999999999</v>
      </c>
      <c r="W22" s="12">
        <v>1.2529999999999999</v>
      </c>
      <c r="AI22" t="s">
        <v>9</v>
      </c>
      <c r="AJ22" cm="1">
        <f t="array" ref="AJ22:AK26">LINEST(O2:O38, N2:N38, TRUE, TRUE)</f>
        <v>-8.5811783905457002</v>
      </c>
      <c r="AK22">
        <v>1.8099925337210339</v>
      </c>
      <c r="AL22" t="s">
        <v>11</v>
      </c>
    </row>
    <row r="23" spans="1:38" x14ac:dyDescent="0.3">
      <c r="A23" s="5">
        <v>0.38300000000000001</v>
      </c>
      <c r="B23" s="3">
        <v>-4.0470000000000002E-3</v>
      </c>
      <c r="C23" s="6">
        <v>1.1970000000000001</v>
      </c>
      <c r="D23" s="4">
        <v>7.6880000000000004E-2</v>
      </c>
      <c r="E23" s="6">
        <v>-3.37</v>
      </c>
      <c r="G23" s="18">
        <v>0.38300000000000001</v>
      </c>
      <c r="H23" s="12">
        <v>1.1970000000000001</v>
      </c>
      <c r="I23" s="13">
        <v>-3.37</v>
      </c>
      <c r="J23" s="19">
        <f t="shared" si="0"/>
        <v>7.3344500000000007E-2</v>
      </c>
      <c r="N23" s="14">
        <f t="shared" si="1"/>
        <v>7.3344500000000007E-2</v>
      </c>
      <c r="O23" s="12">
        <v>1.1970000000000001</v>
      </c>
      <c r="R23" s="18">
        <v>0.38300000000000001</v>
      </c>
      <c r="S23" s="13">
        <v>-3.37</v>
      </c>
      <c r="V23" s="18">
        <v>0.38300000000000001</v>
      </c>
      <c r="W23" s="12">
        <v>1.1970000000000001</v>
      </c>
      <c r="AI23" t="s">
        <v>10</v>
      </c>
      <c r="AJ23">
        <v>5.7139173010174321E-2</v>
      </c>
      <c r="AK23">
        <v>5.3644526214833019E-3</v>
      </c>
      <c r="AL23" t="s">
        <v>12</v>
      </c>
    </row>
    <row r="24" spans="1:38" x14ac:dyDescent="0.3">
      <c r="A24" s="5">
        <v>0.4</v>
      </c>
      <c r="B24" s="3">
        <v>-3.62E-3</v>
      </c>
      <c r="C24" s="6">
        <v>1.141</v>
      </c>
      <c r="D24" s="6">
        <v>0</v>
      </c>
      <c r="E24" s="6">
        <v>-3.5880000000000001</v>
      </c>
      <c r="G24" s="18">
        <v>0.4</v>
      </c>
      <c r="H24" s="12">
        <v>1.141</v>
      </c>
      <c r="I24" s="13">
        <v>-3.5880000000000001</v>
      </c>
      <c r="J24" s="19">
        <f t="shared" si="0"/>
        <v>8.0000000000000016E-2</v>
      </c>
      <c r="N24" s="14">
        <f t="shared" si="1"/>
        <v>8.0000000000000016E-2</v>
      </c>
      <c r="O24" s="12">
        <v>1.141</v>
      </c>
      <c r="R24" s="18">
        <v>0.4</v>
      </c>
      <c r="S24" s="13">
        <v>-3.5880000000000001</v>
      </c>
      <c r="V24" s="18">
        <v>0.4</v>
      </c>
      <c r="W24" s="12">
        <v>1.141</v>
      </c>
      <c r="AJ24">
        <v>0.99845058177966717</v>
      </c>
      <c r="AK24">
        <v>2.1193204145628922E-2</v>
      </c>
    </row>
    <row r="25" spans="1:38" x14ac:dyDescent="0.3">
      <c r="A25" s="5">
        <v>0.41699999999999998</v>
      </c>
      <c r="B25" s="3">
        <v>-4.0470000000000002E-3</v>
      </c>
      <c r="C25" s="6">
        <v>1.0780000000000001</v>
      </c>
      <c r="D25" s="4">
        <v>2.563E-2</v>
      </c>
      <c r="E25" s="6">
        <v>-3.7290000000000001</v>
      </c>
      <c r="G25" s="18">
        <v>0.41699999999999998</v>
      </c>
      <c r="H25" s="12">
        <v>1.0780000000000001</v>
      </c>
      <c r="I25" s="13">
        <v>-3.7290000000000001</v>
      </c>
      <c r="J25" s="19">
        <f t="shared" si="0"/>
        <v>8.6944499999999994E-2</v>
      </c>
      <c r="N25" s="14">
        <f t="shared" si="1"/>
        <v>8.6944499999999994E-2</v>
      </c>
      <c r="O25" s="12">
        <v>1.0780000000000001</v>
      </c>
      <c r="R25" s="18">
        <v>0.41699999999999998</v>
      </c>
      <c r="S25" s="13">
        <v>-3.7290000000000001</v>
      </c>
      <c r="V25" s="18">
        <v>0.41699999999999998</v>
      </c>
      <c r="W25" s="12">
        <v>1.0780000000000001</v>
      </c>
      <c r="AJ25">
        <v>22554.123801887163</v>
      </c>
      <c r="AK25">
        <v>35</v>
      </c>
    </row>
    <row r="26" spans="1:38" x14ac:dyDescent="0.3">
      <c r="A26" s="5">
        <v>0.433</v>
      </c>
      <c r="B26" s="3">
        <v>-2.7659999999999998E-3</v>
      </c>
      <c r="C26" s="6">
        <v>1.016</v>
      </c>
      <c r="D26" s="4">
        <v>5.1249999999999997E-2</v>
      </c>
      <c r="E26" s="6">
        <v>-4.0110000000000001</v>
      </c>
      <c r="G26" s="18">
        <v>0.433</v>
      </c>
      <c r="H26" s="12">
        <v>1.016</v>
      </c>
      <c r="I26" s="13">
        <v>-4.0110000000000001</v>
      </c>
      <c r="J26" s="19">
        <f t="shared" si="0"/>
        <v>9.3744499999999994E-2</v>
      </c>
      <c r="N26" s="14">
        <f t="shared" si="1"/>
        <v>9.3744499999999994E-2</v>
      </c>
      <c r="O26" s="12">
        <v>1.016</v>
      </c>
      <c r="R26" s="18">
        <v>0.433</v>
      </c>
      <c r="S26" s="13">
        <v>-4.0110000000000001</v>
      </c>
      <c r="V26" s="18">
        <v>0.433</v>
      </c>
      <c r="W26" s="12">
        <v>1.016</v>
      </c>
      <c r="AJ26">
        <v>10.13022760262065</v>
      </c>
      <c r="AK26">
        <v>1.5720316568540605E-2</v>
      </c>
    </row>
    <row r="27" spans="1:38" x14ac:dyDescent="0.3">
      <c r="A27" s="5">
        <v>0.45</v>
      </c>
      <c r="B27" s="3">
        <v>-2.3389999999999999E-3</v>
      </c>
      <c r="C27" s="5">
        <v>0.94399999999999995</v>
      </c>
      <c r="D27" s="4">
        <v>1.281E-2</v>
      </c>
      <c r="E27" s="6">
        <v>-4.1509999999999998</v>
      </c>
      <c r="G27" s="18">
        <v>0.45</v>
      </c>
      <c r="H27" s="20">
        <v>0.94399999999999995</v>
      </c>
      <c r="I27" s="13">
        <v>-4.1509999999999998</v>
      </c>
      <c r="J27" s="21">
        <f t="shared" si="0"/>
        <v>0.10125000000000001</v>
      </c>
      <c r="N27" s="14">
        <f t="shared" si="1"/>
        <v>0.10125000000000001</v>
      </c>
      <c r="O27" s="20">
        <v>0.94399999999999995</v>
      </c>
      <c r="R27" s="18">
        <v>0.45</v>
      </c>
      <c r="S27" s="13">
        <v>-4.1509999999999998</v>
      </c>
      <c r="V27" s="18">
        <v>0.45</v>
      </c>
      <c r="W27" s="20">
        <v>0.94399999999999995</v>
      </c>
    </row>
    <row r="28" spans="1:38" x14ac:dyDescent="0.3">
      <c r="A28" s="5">
        <v>0.46700000000000003</v>
      </c>
      <c r="B28" s="3">
        <v>-2.3389999999999999E-3</v>
      </c>
      <c r="C28" s="5">
        <v>0.878</v>
      </c>
      <c r="D28" s="4">
        <v>1.281E-2</v>
      </c>
      <c r="E28" s="6">
        <v>-4.0110000000000001</v>
      </c>
      <c r="G28" s="18">
        <v>0.46700000000000003</v>
      </c>
      <c r="H28" s="20">
        <v>0.878</v>
      </c>
      <c r="I28" s="13">
        <v>-4.0110000000000001</v>
      </c>
      <c r="J28" s="21">
        <f t="shared" si="0"/>
        <v>0.10904450000000002</v>
      </c>
      <c r="N28" s="14">
        <f t="shared" si="1"/>
        <v>0.10904450000000002</v>
      </c>
      <c r="O28" s="20">
        <v>0.878</v>
      </c>
      <c r="R28" s="18">
        <v>0.46700000000000003</v>
      </c>
      <c r="S28" s="13">
        <v>-4.0110000000000001</v>
      </c>
      <c r="V28" s="18">
        <v>0.46700000000000003</v>
      </c>
      <c r="W28" s="20">
        <v>0.878</v>
      </c>
    </row>
    <row r="29" spans="1:38" x14ac:dyDescent="0.3">
      <c r="A29" s="5">
        <v>0.48299999999999998</v>
      </c>
      <c r="B29" s="3">
        <v>-1.9120000000000001E-3</v>
      </c>
      <c r="C29" s="5">
        <v>0.81</v>
      </c>
      <c r="D29" s="5">
        <v>0.10299999999999999</v>
      </c>
      <c r="E29" s="6">
        <v>-4.2919999999999998</v>
      </c>
      <c r="G29" s="18">
        <v>0.48299999999999998</v>
      </c>
      <c r="H29" s="20">
        <v>0.81</v>
      </c>
      <c r="I29" s="13">
        <v>-4.2919999999999998</v>
      </c>
      <c r="J29" s="21">
        <f t="shared" si="0"/>
        <v>0.1166445</v>
      </c>
      <c r="N29" s="14">
        <f t="shared" si="1"/>
        <v>0.1166445</v>
      </c>
      <c r="O29" s="20">
        <v>0.81</v>
      </c>
      <c r="R29" s="18">
        <v>0.48299999999999998</v>
      </c>
      <c r="S29" s="13">
        <v>-4.2919999999999998</v>
      </c>
      <c r="V29" s="18">
        <v>0.48299999999999998</v>
      </c>
      <c r="W29" s="20">
        <v>0.81</v>
      </c>
    </row>
    <row r="30" spans="1:38" x14ac:dyDescent="0.3">
      <c r="A30" s="5">
        <v>0.5</v>
      </c>
      <c r="B30" s="3">
        <v>1.078E-3</v>
      </c>
      <c r="C30" s="5">
        <v>0.73499999999999999</v>
      </c>
      <c r="D30" s="4">
        <v>5.1249999999999997E-2</v>
      </c>
      <c r="E30" s="6">
        <v>-4.5490000000000004</v>
      </c>
      <c r="G30" s="18">
        <v>0.5</v>
      </c>
      <c r="H30" s="20">
        <v>0.73499999999999999</v>
      </c>
      <c r="I30" s="13">
        <v>-4.5490000000000004</v>
      </c>
      <c r="J30" s="14">
        <f t="shared" si="0"/>
        <v>0.125</v>
      </c>
      <c r="N30" s="14">
        <f t="shared" si="1"/>
        <v>0.125</v>
      </c>
      <c r="O30" s="20">
        <v>0.73499999999999999</v>
      </c>
      <c r="R30" s="18">
        <v>0.5</v>
      </c>
      <c r="S30" s="13">
        <v>-4.5490000000000004</v>
      </c>
      <c r="V30" s="18">
        <v>0.5</v>
      </c>
      <c r="W30" s="20">
        <v>0.73499999999999999</v>
      </c>
    </row>
    <row r="31" spans="1:38" x14ac:dyDescent="0.3">
      <c r="A31" s="5">
        <v>0.51700000000000002</v>
      </c>
      <c r="B31" s="2">
        <v>-2.0320000000000001E-4</v>
      </c>
      <c r="C31" s="5">
        <v>0.65900000000000003</v>
      </c>
      <c r="D31" s="4">
        <v>-3.8440000000000002E-2</v>
      </c>
      <c r="E31" s="6">
        <v>-4.51</v>
      </c>
      <c r="G31" s="18">
        <v>0.51700000000000002</v>
      </c>
      <c r="H31" s="20">
        <v>0.65900000000000003</v>
      </c>
      <c r="I31" s="13">
        <v>-4.51</v>
      </c>
      <c r="J31" s="21">
        <f t="shared" si="0"/>
        <v>0.1336445</v>
      </c>
      <c r="N31" s="14">
        <f t="shared" si="1"/>
        <v>0.1336445</v>
      </c>
      <c r="O31" s="20">
        <v>0.65900000000000003</v>
      </c>
      <c r="R31" s="18">
        <v>0.51700000000000002</v>
      </c>
      <c r="S31" s="13">
        <v>-4.51</v>
      </c>
      <c r="V31" s="18">
        <v>0.51700000000000002</v>
      </c>
      <c r="W31" s="20">
        <v>0.65900000000000003</v>
      </c>
    </row>
    <row r="32" spans="1:38" x14ac:dyDescent="0.3">
      <c r="A32" s="5">
        <v>0.53300000000000003</v>
      </c>
      <c r="B32" s="2">
        <v>-2.0320000000000001E-4</v>
      </c>
      <c r="C32" s="5">
        <v>0.58499999999999996</v>
      </c>
      <c r="D32" s="4">
        <v>3.8440000000000002E-2</v>
      </c>
      <c r="E32" s="6">
        <v>-4.6130000000000004</v>
      </c>
      <c r="G32" s="18">
        <v>0.53300000000000003</v>
      </c>
      <c r="H32" s="20">
        <v>0.58499999999999996</v>
      </c>
      <c r="I32" s="13">
        <v>-4.6130000000000004</v>
      </c>
      <c r="J32" s="21">
        <f t="shared" si="0"/>
        <v>0.14204450000000002</v>
      </c>
      <c r="N32" s="14">
        <f t="shared" si="1"/>
        <v>0.14204450000000002</v>
      </c>
      <c r="O32" s="20">
        <v>0.58499999999999996</v>
      </c>
      <c r="R32" s="18">
        <v>0.53300000000000003</v>
      </c>
      <c r="S32" s="13">
        <v>-4.6130000000000004</v>
      </c>
      <c r="V32" s="18">
        <v>0.53300000000000003</v>
      </c>
      <c r="W32" s="20">
        <v>0.58499999999999996</v>
      </c>
    </row>
    <row r="33" spans="1:38" x14ac:dyDescent="0.3">
      <c r="A33" s="5">
        <v>0.55000000000000004</v>
      </c>
      <c r="B33" s="3">
        <v>1.078E-3</v>
      </c>
      <c r="C33" s="5">
        <v>0.505</v>
      </c>
      <c r="D33" s="4">
        <v>7.6880000000000004E-2</v>
      </c>
      <c r="E33" s="6">
        <v>-4.8179999999999996</v>
      </c>
      <c r="G33" s="18">
        <v>0.55000000000000004</v>
      </c>
      <c r="H33" s="20">
        <v>0.505</v>
      </c>
      <c r="I33" s="13">
        <v>-4.8179999999999996</v>
      </c>
      <c r="J33" s="21">
        <f t="shared" si="0"/>
        <v>0.15125000000000002</v>
      </c>
      <c r="N33" s="14">
        <f t="shared" si="1"/>
        <v>0.15125000000000002</v>
      </c>
      <c r="O33" s="20">
        <v>0.505</v>
      </c>
      <c r="R33" s="18">
        <v>0.55000000000000004</v>
      </c>
      <c r="S33" s="13">
        <v>-4.8179999999999996</v>
      </c>
      <c r="V33" s="18">
        <v>0.55000000000000004</v>
      </c>
      <c r="W33" s="20">
        <v>0.505</v>
      </c>
    </row>
    <row r="34" spans="1:38" x14ac:dyDescent="0.3">
      <c r="A34" s="5">
        <v>0.56699999999999995</v>
      </c>
      <c r="B34" s="3">
        <v>2.359E-3</v>
      </c>
      <c r="C34" s="5">
        <v>0.42399999999999999</v>
      </c>
      <c r="D34" s="4">
        <v>3.8440000000000002E-2</v>
      </c>
      <c r="E34" s="6">
        <v>-4.9589999999999996</v>
      </c>
      <c r="G34" s="18">
        <v>0.56699999999999995</v>
      </c>
      <c r="H34" s="20">
        <v>0.42399999999999999</v>
      </c>
      <c r="I34" s="13">
        <v>-4.9589999999999996</v>
      </c>
      <c r="J34" s="21">
        <f t="shared" si="0"/>
        <v>0.16074449999999998</v>
      </c>
      <c r="N34" s="14">
        <f t="shared" si="1"/>
        <v>0.16074449999999998</v>
      </c>
      <c r="O34" s="20">
        <v>0.42399999999999999</v>
      </c>
      <c r="R34" s="18">
        <v>0.56699999999999995</v>
      </c>
      <c r="S34" s="13">
        <v>-4.9589999999999996</v>
      </c>
      <c r="V34" s="18">
        <v>0.56699999999999995</v>
      </c>
      <c r="W34" s="20">
        <v>0.42399999999999999</v>
      </c>
    </row>
    <row r="35" spans="1:38" x14ac:dyDescent="0.3">
      <c r="A35" s="5">
        <v>0.58299999999999996</v>
      </c>
      <c r="B35" s="3">
        <v>2.359E-3</v>
      </c>
      <c r="C35" s="5">
        <v>0.34</v>
      </c>
      <c r="D35" s="4">
        <v>-5.1249999999999997E-2</v>
      </c>
      <c r="E35" s="6">
        <v>-5.1890000000000001</v>
      </c>
      <c r="G35" s="18">
        <v>0.58299999999999996</v>
      </c>
      <c r="H35" s="20">
        <v>0.34</v>
      </c>
      <c r="I35" s="13">
        <v>-5.1890000000000001</v>
      </c>
      <c r="J35" s="21">
        <f t="shared" si="0"/>
        <v>0.16994449999999997</v>
      </c>
      <c r="N35" s="14">
        <f t="shared" si="1"/>
        <v>0.16994449999999997</v>
      </c>
      <c r="O35" s="20">
        <v>0.34</v>
      </c>
      <c r="R35" s="18">
        <v>0.58299999999999996</v>
      </c>
      <c r="S35" s="13">
        <v>-5.1890000000000001</v>
      </c>
      <c r="V35" s="18">
        <v>0.58299999999999996</v>
      </c>
      <c r="W35" s="20">
        <v>0.34</v>
      </c>
    </row>
    <row r="36" spans="1:38" x14ac:dyDescent="0.3">
      <c r="A36" s="5">
        <v>0.6</v>
      </c>
      <c r="B36" s="2">
        <v>6.5099999999999999E-4</v>
      </c>
      <c r="C36" s="5">
        <v>0.251</v>
      </c>
      <c r="D36" s="4">
        <v>-8.9690000000000006E-2</v>
      </c>
      <c r="E36" s="6">
        <v>-5.407</v>
      </c>
      <c r="G36" s="18">
        <v>0.6</v>
      </c>
      <c r="H36" s="20">
        <v>0.251</v>
      </c>
      <c r="I36" s="13">
        <v>-5.407</v>
      </c>
      <c r="J36" s="21">
        <f t="shared" si="0"/>
        <v>0.18</v>
      </c>
      <c r="N36" s="14">
        <f t="shared" si="1"/>
        <v>0.18</v>
      </c>
      <c r="O36" s="20">
        <v>0.251</v>
      </c>
      <c r="R36" s="18">
        <v>0.6</v>
      </c>
      <c r="S36" s="13">
        <v>-5.407</v>
      </c>
      <c r="V36" s="18">
        <v>0.6</v>
      </c>
      <c r="W36" s="20">
        <v>0.251</v>
      </c>
    </row>
    <row r="37" spans="1:38" x14ac:dyDescent="0.3">
      <c r="A37" s="5">
        <v>0.61699999999999999</v>
      </c>
      <c r="B37" s="2">
        <v>-6.3029999999999998E-4</v>
      </c>
      <c r="C37" s="5">
        <v>0.16</v>
      </c>
      <c r="D37" s="4">
        <v>2.563E-2</v>
      </c>
      <c r="E37" s="6">
        <v>-5.3049999999999997</v>
      </c>
      <c r="G37" s="18">
        <v>0.61699999999999999</v>
      </c>
      <c r="H37" s="20">
        <v>0.16</v>
      </c>
      <c r="I37" s="13">
        <v>-5.3049999999999997</v>
      </c>
      <c r="J37" s="21">
        <f t="shared" si="0"/>
        <v>0.1903445</v>
      </c>
      <c r="N37" s="14">
        <f t="shared" si="1"/>
        <v>0.1903445</v>
      </c>
      <c r="O37" s="20">
        <v>0.16</v>
      </c>
      <c r="R37" s="18">
        <v>0.61699999999999999</v>
      </c>
      <c r="S37" s="13">
        <v>-5.3049999999999997</v>
      </c>
      <c r="V37" s="18">
        <v>0.61699999999999999</v>
      </c>
      <c r="W37" s="20">
        <v>0.16</v>
      </c>
    </row>
    <row r="38" spans="1:38" x14ac:dyDescent="0.3">
      <c r="A38" s="5">
        <v>0.63300000000000001</v>
      </c>
      <c r="B38" s="3">
        <v>1.505E-3</v>
      </c>
      <c r="C38" s="4">
        <v>7.4149999999999994E-2</v>
      </c>
      <c r="D38" s="4">
        <v>7.6880000000000004E-2</v>
      </c>
      <c r="E38" s="6">
        <v>-4.5229999999999997</v>
      </c>
      <c r="G38" s="18">
        <v>0.63300000000000001</v>
      </c>
      <c r="H38" s="22">
        <v>7.4149999999999994E-2</v>
      </c>
      <c r="I38" s="13">
        <v>-4.5229999999999997</v>
      </c>
      <c r="J38" s="21">
        <f t="shared" si="0"/>
        <v>0.20034450000000001</v>
      </c>
      <c r="N38" s="14">
        <f t="shared" si="1"/>
        <v>0.20034450000000001</v>
      </c>
      <c r="O38" s="22">
        <v>7.4149999999999994E-2</v>
      </c>
      <c r="R38" s="18">
        <v>0.63300000000000001</v>
      </c>
      <c r="S38" s="13">
        <v>-4.5229999999999997</v>
      </c>
      <c r="V38" s="18">
        <v>0.63300000000000001</v>
      </c>
      <c r="W38" s="22">
        <v>7.4149999999999994E-2</v>
      </c>
      <c r="AI38" t="s">
        <v>9</v>
      </c>
      <c r="AJ38" cm="1">
        <f t="array" ref="AJ38:AK42">LINEST(S2:S38, R2:R38, TRUE, TRUE)</f>
        <v>-9.5053580978799861</v>
      </c>
      <c r="AK38">
        <v>0.39696571408523917</v>
      </c>
      <c r="AL38" t="s">
        <v>11</v>
      </c>
    </row>
    <row r="39" spans="1:38" x14ac:dyDescent="0.3">
      <c r="B39" s="1"/>
      <c r="C39" s="1"/>
      <c r="AI39" t="s">
        <v>10</v>
      </c>
      <c r="AJ39">
        <v>0.21902487005374258</v>
      </c>
      <c r="AK39">
        <v>8.2759424215179678E-2</v>
      </c>
      <c r="AL39" t="s">
        <v>12</v>
      </c>
    </row>
    <row r="40" spans="1:38" x14ac:dyDescent="0.3">
      <c r="AJ40">
        <v>0.98175594052885518</v>
      </c>
      <c r="AK40">
        <v>0.23708732573679739</v>
      </c>
    </row>
    <row r="41" spans="1:38" x14ac:dyDescent="0.3">
      <c r="AJ41">
        <v>1883.432685190307</v>
      </c>
      <c r="AK41">
        <v>35</v>
      </c>
    </row>
    <row r="42" spans="1:38" x14ac:dyDescent="0.3">
      <c r="AJ42">
        <v>105.86850465475652</v>
      </c>
      <c r="AK42">
        <v>1.9673640008759192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 Ahmed</dc:creator>
  <cp:lastModifiedBy>Misbah Ahmed</cp:lastModifiedBy>
  <dcterms:created xsi:type="dcterms:W3CDTF">2015-06-05T18:17:20Z</dcterms:created>
  <dcterms:modified xsi:type="dcterms:W3CDTF">2024-04-04T00:38:47Z</dcterms:modified>
</cp:coreProperties>
</file>