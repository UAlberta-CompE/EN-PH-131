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sba\OneDrive\Desktop\"/>
    </mc:Choice>
  </mc:AlternateContent>
  <xr:revisionPtr revIDLastSave="0" documentId="13_ncr:1_{2A254ED3-F3B4-4BC9-97FD-E8CADBD586E9}" xr6:coauthVersionLast="47" xr6:coauthVersionMax="47" xr10:uidLastSave="{00000000-0000-0000-0000-000000000000}"/>
  <bookViews>
    <workbookView xWindow="-108" yWindow="-108" windowWidth="23256" windowHeight="12456" firstSheet="1" activeTab="6" xr2:uid="{231C4F2A-06AB-154A-B19D-5ABB2EB37018}"/>
  </bookViews>
  <sheets>
    <sheet name="1 sheet" sheetId="9" r:id="rId1"/>
    <sheet name="2 sheets" sheetId="2" r:id="rId2"/>
    <sheet name="3 sheets" sheetId="3" r:id="rId3"/>
    <sheet name="4 sheets" sheetId="4" r:id="rId4"/>
    <sheet name="5 sheets" sheetId="5" r:id="rId5"/>
    <sheet name="10 sheets" sheetId="6" r:id="rId6"/>
    <sheet name="20 sheets" sheetId="7" r:id="rId7"/>
    <sheet name="Final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8" l="1" a="1"/>
  <c r="J12" i="8" s="1"/>
  <c r="C2" i="8"/>
  <c r="C3" i="8"/>
  <c r="C4" i="8"/>
  <c r="C5" i="8"/>
  <c r="C6" i="8"/>
  <c r="C7" i="8"/>
  <c r="C8" i="8"/>
  <c r="D3" i="8"/>
  <c r="D4" i="8"/>
  <c r="D5" i="8"/>
  <c r="D6" i="8"/>
  <c r="D7" i="8"/>
  <c r="D8" i="8"/>
  <c r="D2" i="8"/>
  <c r="I2" i="8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" i="7"/>
  <c r="C4" i="7"/>
  <c r="C5" i="7"/>
  <c r="C6" i="7"/>
  <c r="C7" i="7"/>
  <c r="C8" i="7"/>
  <c r="C9" i="7"/>
  <c r="C2" i="7"/>
  <c r="C2" i="6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B2" i="7"/>
  <c r="B3" i="7"/>
  <c r="C45" i="6"/>
  <c r="C46" i="6"/>
  <c r="C47" i="6"/>
  <c r="C48" i="6"/>
  <c r="C49" i="6"/>
  <c r="C50" i="6"/>
  <c r="C51" i="6"/>
  <c r="C52" i="6"/>
  <c r="C53" i="6"/>
  <c r="C54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" i="6"/>
  <c r="C4" i="6"/>
  <c r="C5" i="6"/>
  <c r="C6" i="6"/>
  <c r="C7" i="6"/>
  <c r="C8" i="6"/>
  <c r="C9" i="6"/>
  <c r="C10" i="6"/>
  <c r="C11" i="6"/>
  <c r="C12" i="6"/>
  <c r="C13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2" i="6"/>
  <c r="H2" i="5"/>
  <c r="H2" i="9"/>
  <c r="H2" i="7"/>
  <c r="H2" i="4"/>
  <c r="H2" i="3"/>
  <c r="H2" i="2"/>
  <c r="A2" i="3"/>
  <c r="A2" i="3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<sst xmlns="http://schemas.openxmlformats.org/spreadsheetml/2006/main" count="71" uniqueCount="27">
  <si>
    <t>Time (s)</t>
  </si>
  <si>
    <t>Accelaration (m/s^(2))</t>
  </si>
  <si>
    <t>T0 (s)</t>
  </si>
  <si>
    <t>samhitas value</t>
  </si>
  <si>
    <t>error = 0.6</t>
  </si>
  <si>
    <t xml:space="preserve">Terminal Velocity (m/s) </t>
  </si>
  <si>
    <t>N</t>
  </si>
  <si>
    <t>Accelaration (m/s^2)</t>
  </si>
  <si>
    <t>Area of cross-section (m^(2))</t>
  </si>
  <si>
    <t>Density (kg/m^(3))</t>
  </si>
  <si>
    <t xml:space="preserve">Y-position (m) </t>
  </si>
  <si>
    <t>Y-velocity (m/s)</t>
  </si>
  <si>
    <t>error = +-0.4</t>
  </si>
  <si>
    <t>error = +-0.5</t>
  </si>
  <si>
    <t>error = +-0.2</t>
  </si>
  <si>
    <t>error = =-0.4</t>
  </si>
  <si>
    <t>error = +-0.3</t>
  </si>
  <si>
    <t>Equation 9.12</t>
  </si>
  <si>
    <t>error = +- 0.4</t>
  </si>
  <si>
    <t>radius(m)</t>
  </si>
  <si>
    <t>Mass of Stack (kg)</t>
  </si>
  <si>
    <t>Vt (m/s)</t>
  </si>
  <si>
    <t>Vt^2 (m^2/s^2)</t>
  </si>
  <si>
    <t>slope</t>
  </si>
  <si>
    <t>unc of slope</t>
  </si>
  <si>
    <t>y intercept</t>
  </si>
  <si>
    <t>unc in y intercept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</si>
</sst>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0"/>
    <numFmt numFmtId="166" formatCode="0.000"/>
  </numFmts>
  <fonts count="1" x14ac:knownFonts="1">
    <font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1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1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1" fontId="0" fillId="2" borderId="0" xfId="0" applyNumberFormat="1" applyFill="1" applyAlignment="1">
      <alignment horizontal="center" vertical="center"/>
    </xf>
    <xf numFmtId="11" fontId="0" fillId="3" borderId="0" xfId="0" applyNumberFormat="1" applyFill="1" applyAlignment="1">
      <alignment horizontal="center" vertical="center"/>
    </xf>
    <xf numFmtId="11" fontId="0" fillId="4" borderId="0" xfId="0" applyNumberFormat="1" applyFill="1" applyAlignment="1">
      <alignment horizontal="center" vertical="center"/>
    </xf>
    <xf numFmtId="166" fontId="0" fillId="5" borderId="0" xfId="0" applyNumberFormat="1" applyFill="1" applyAlignment="1">
      <alignment horizontal="center" vertical="center"/>
    </xf>
    <xf numFmtId="166" fontId="0" fillId="6" borderId="0" xfId="0" applyNumberFormat="1" applyFill="1" applyAlignment="1">
      <alignment horizontal="center" vertical="center"/>
    </xf>
    <xf numFmtId="166" fontId="0" fillId="7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 sheets'!$B$1</c:f>
              <c:strCache>
                <c:ptCount val="1"/>
                <c:pt idx="0">
                  <c:v>Y-velocity (m/s)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 sheets'!$A$2:$A$120</c:f>
              <c:numCache>
                <c:formatCode>0.00</c:formatCode>
                <c:ptCount val="119"/>
                <c:pt idx="0">
                  <c:v>0</c:v>
                </c:pt>
                <c:pt idx="1">
                  <c:v>1.7000000000000001E-2</c:v>
                </c:pt>
                <c:pt idx="2">
                  <c:v>3.3000000000000002E-2</c:v>
                </c:pt>
                <c:pt idx="3">
                  <c:v>0.05</c:v>
                </c:pt>
                <c:pt idx="4">
                  <c:v>6.7000000000000004E-2</c:v>
                </c:pt>
                <c:pt idx="5">
                  <c:v>8.3000000000000004E-2</c:v>
                </c:pt>
                <c:pt idx="6">
                  <c:v>0.1</c:v>
                </c:pt>
                <c:pt idx="7">
                  <c:v>0.11700000000000001</c:v>
                </c:pt>
                <c:pt idx="8">
                  <c:v>0.13300000000000001</c:v>
                </c:pt>
                <c:pt idx="9">
                  <c:v>0.15</c:v>
                </c:pt>
                <c:pt idx="10">
                  <c:v>0.16700000000000001</c:v>
                </c:pt>
                <c:pt idx="11">
                  <c:v>0.183</c:v>
                </c:pt>
                <c:pt idx="12">
                  <c:v>0.2</c:v>
                </c:pt>
                <c:pt idx="13">
                  <c:v>0.217</c:v>
                </c:pt>
                <c:pt idx="14">
                  <c:v>0.23300000000000001</c:v>
                </c:pt>
                <c:pt idx="15">
                  <c:v>0.25</c:v>
                </c:pt>
                <c:pt idx="16">
                  <c:v>0.26700000000000002</c:v>
                </c:pt>
                <c:pt idx="17">
                  <c:v>0.28299999999999997</c:v>
                </c:pt>
                <c:pt idx="18">
                  <c:v>0.3</c:v>
                </c:pt>
                <c:pt idx="19">
                  <c:v>0.317</c:v>
                </c:pt>
                <c:pt idx="20">
                  <c:v>0.33300000000000002</c:v>
                </c:pt>
                <c:pt idx="21">
                  <c:v>0.35</c:v>
                </c:pt>
                <c:pt idx="22">
                  <c:v>0.36699999999999999</c:v>
                </c:pt>
                <c:pt idx="23">
                  <c:v>0.38300000000000001</c:v>
                </c:pt>
                <c:pt idx="24">
                  <c:v>0.4</c:v>
                </c:pt>
                <c:pt idx="25">
                  <c:v>0.41699999999999998</c:v>
                </c:pt>
                <c:pt idx="26">
                  <c:v>0.433</c:v>
                </c:pt>
                <c:pt idx="27">
                  <c:v>0.45</c:v>
                </c:pt>
                <c:pt idx="28">
                  <c:v>0.46700000000000003</c:v>
                </c:pt>
                <c:pt idx="29">
                  <c:v>0.48299999999999998</c:v>
                </c:pt>
                <c:pt idx="30">
                  <c:v>0.5</c:v>
                </c:pt>
                <c:pt idx="31">
                  <c:v>0.51700000000000002</c:v>
                </c:pt>
                <c:pt idx="32">
                  <c:v>0.53300000000000003</c:v>
                </c:pt>
                <c:pt idx="33">
                  <c:v>0.55000000000000004</c:v>
                </c:pt>
                <c:pt idx="34">
                  <c:v>0.56699999999999995</c:v>
                </c:pt>
                <c:pt idx="35">
                  <c:v>0.58299999999999996</c:v>
                </c:pt>
                <c:pt idx="36">
                  <c:v>0.6</c:v>
                </c:pt>
                <c:pt idx="37">
                  <c:v>0.61699999999999999</c:v>
                </c:pt>
                <c:pt idx="38">
                  <c:v>0.63300000000000001</c:v>
                </c:pt>
                <c:pt idx="39">
                  <c:v>0.65</c:v>
                </c:pt>
                <c:pt idx="40">
                  <c:v>0.66700000000000004</c:v>
                </c:pt>
                <c:pt idx="41">
                  <c:v>0.68300000000000005</c:v>
                </c:pt>
                <c:pt idx="42">
                  <c:v>0.7</c:v>
                </c:pt>
                <c:pt idx="43">
                  <c:v>0.71699999999999997</c:v>
                </c:pt>
                <c:pt idx="44">
                  <c:v>0.73299999999999998</c:v>
                </c:pt>
                <c:pt idx="45">
                  <c:v>0.75</c:v>
                </c:pt>
                <c:pt idx="46">
                  <c:v>0.76700000000000002</c:v>
                </c:pt>
                <c:pt idx="47">
                  <c:v>0.78300000000000003</c:v>
                </c:pt>
                <c:pt idx="48">
                  <c:v>0.8</c:v>
                </c:pt>
                <c:pt idx="49">
                  <c:v>0.81699999999999995</c:v>
                </c:pt>
                <c:pt idx="50">
                  <c:v>0.83499999999999996</c:v>
                </c:pt>
                <c:pt idx="51">
                  <c:v>0.85199999999999998</c:v>
                </c:pt>
                <c:pt idx="52">
                  <c:v>0.86799999999999999</c:v>
                </c:pt>
                <c:pt idx="53">
                  <c:v>0.88500000000000001</c:v>
                </c:pt>
                <c:pt idx="54">
                  <c:v>0.90200000000000002</c:v>
                </c:pt>
                <c:pt idx="55">
                  <c:v>0.91800000000000004</c:v>
                </c:pt>
                <c:pt idx="56">
                  <c:v>0.93500000000000005</c:v>
                </c:pt>
                <c:pt idx="57">
                  <c:v>0.95199999999999996</c:v>
                </c:pt>
                <c:pt idx="58">
                  <c:v>0.96799999999999997</c:v>
                </c:pt>
                <c:pt idx="59">
                  <c:v>0.98499999999999999</c:v>
                </c:pt>
                <c:pt idx="60">
                  <c:v>1.002</c:v>
                </c:pt>
                <c:pt idx="61">
                  <c:v>1.018</c:v>
                </c:pt>
                <c:pt idx="62">
                  <c:v>1.0349999999999999</c:v>
                </c:pt>
                <c:pt idx="63">
                  <c:v>1.052</c:v>
                </c:pt>
                <c:pt idx="64">
                  <c:v>1.0680000000000001</c:v>
                </c:pt>
                <c:pt idx="65">
                  <c:v>1.085</c:v>
                </c:pt>
                <c:pt idx="66">
                  <c:v>1.1020000000000001</c:v>
                </c:pt>
                <c:pt idx="67">
                  <c:v>1.1180000000000001</c:v>
                </c:pt>
                <c:pt idx="68">
                  <c:v>1.135</c:v>
                </c:pt>
                <c:pt idx="69">
                  <c:v>1.1519999999999999</c:v>
                </c:pt>
                <c:pt idx="70">
                  <c:v>1.1679999999999999</c:v>
                </c:pt>
                <c:pt idx="71">
                  <c:v>1.1850000000000001</c:v>
                </c:pt>
                <c:pt idx="72">
                  <c:v>1.202</c:v>
                </c:pt>
                <c:pt idx="73">
                  <c:v>1.218</c:v>
                </c:pt>
                <c:pt idx="74">
                  <c:v>1.2350000000000001</c:v>
                </c:pt>
                <c:pt idx="75">
                  <c:v>1.252</c:v>
                </c:pt>
                <c:pt idx="76">
                  <c:v>1.268</c:v>
                </c:pt>
                <c:pt idx="77">
                  <c:v>1.2849999999999999</c:v>
                </c:pt>
                <c:pt idx="78">
                  <c:v>1.302</c:v>
                </c:pt>
                <c:pt idx="79">
                  <c:v>1.3180000000000001</c:v>
                </c:pt>
                <c:pt idx="80">
                  <c:v>1.335</c:v>
                </c:pt>
                <c:pt idx="81">
                  <c:v>1.3520000000000001</c:v>
                </c:pt>
                <c:pt idx="82">
                  <c:v>1.3680000000000001</c:v>
                </c:pt>
                <c:pt idx="83">
                  <c:v>1.385</c:v>
                </c:pt>
                <c:pt idx="84">
                  <c:v>1.4019999999999999</c:v>
                </c:pt>
                <c:pt idx="85">
                  <c:v>1.4179999999999999</c:v>
                </c:pt>
                <c:pt idx="86">
                  <c:v>1.4350000000000001</c:v>
                </c:pt>
                <c:pt idx="87">
                  <c:v>1.452</c:v>
                </c:pt>
                <c:pt idx="88">
                  <c:v>1.468</c:v>
                </c:pt>
                <c:pt idx="89">
                  <c:v>1.4850000000000001</c:v>
                </c:pt>
                <c:pt idx="90">
                  <c:v>1.502</c:v>
                </c:pt>
                <c:pt idx="91">
                  <c:v>1.518</c:v>
                </c:pt>
                <c:pt idx="92">
                  <c:v>1.5349999999999999</c:v>
                </c:pt>
                <c:pt idx="93">
                  <c:v>1.552</c:v>
                </c:pt>
                <c:pt idx="94">
                  <c:v>1.5680000000000001</c:v>
                </c:pt>
                <c:pt idx="95">
                  <c:v>1.585</c:v>
                </c:pt>
                <c:pt idx="96">
                  <c:v>1.6020000000000001</c:v>
                </c:pt>
                <c:pt idx="97">
                  <c:v>1.6180000000000001</c:v>
                </c:pt>
                <c:pt idx="98">
                  <c:v>1.635</c:v>
                </c:pt>
                <c:pt idx="99">
                  <c:v>1.6519999999999999</c:v>
                </c:pt>
                <c:pt idx="100">
                  <c:v>1.6679999999999999</c:v>
                </c:pt>
                <c:pt idx="101">
                  <c:v>1.6850000000000001</c:v>
                </c:pt>
                <c:pt idx="102">
                  <c:v>1.702</c:v>
                </c:pt>
                <c:pt idx="103">
                  <c:v>1.718</c:v>
                </c:pt>
                <c:pt idx="104">
                  <c:v>1.7350000000000001</c:v>
                </c:pt>
                <c:pt idx="105">
                  <c:v>1.752</c:v>
                </c:pt>
                <c:pt idx="106">
                  <c:v>1.768</c:v>
                </c:pt>
                <c:pt idx="107">
                  <c:v>1.7849999999999999</c:v>
                </c:pt>
                <c:pt idx="108">
                  <c:v>1.802</c:v>
                </c:pt>
                <c:pt idx="109">
                  <c:v>1.8180000000000001</c:v>
                </c:pt>
                <c:pt idx="110">
                  <c:v>1.835</c:v>
                </c:pt>
                <c:pt idx="111">
                  <c:v>1.8520000000000001</c:v>
                </c:pt>
                <c:pt idx="112">
                  <c:v>1.8680000000000001</c:v>
                </c:pt>
                <c:pt idx="113">
                  <c:v>1.885</c:v>
                </c:pt>
                <c:pt idx="114">
                  <c:v>1.9019999999999999</c:v>
                </c:pt>
                <c:pt idx="115">
                  <c:v>1.9179999999999999</c:v>
                </c:pt>
                <c:pt idx="116">
                  <c:v>1.9350000000000001</c:v>
                </c:pt>
                <c:pt idx="117">
                  <c:v>1.952</c:v>
                </c:pt>
              </c:numCache>
            </c:numRef>
          </c:xVal>
          <c:yVal>
            <c:numRef>
              <c:f>'2 sheets'!$B$2:$B$120</c:f>
              <c:numCache>
                <c:formatCode>0.00</c:formatCode>
                <c:ptCount val="119"/>
                <c:pt idx="0">
                  <c:v>0</c:v>
                </c:pt>
                <c:pt idx="1">
                  <c:v>-4.1090000000000002E-2</c:v>
                </c:pt>
                <c:pt idx="2">
                  <c:v>-0.41099999999999998</c:v>
                </c:pt>
                <c:pt idx="3">
                  <c:v>-0.45200000000000001</c:v>
                </c:pt>
                <c:pt idx="4">
                  <c:v>-0.41099999999999998</c:v>
                </c:pt>
                <c:pt idx="5">
                  <c:v>-0.41099999999999998</c:v>
                </c:pt>
                <c:pt idx="6">
                  <c:v>-0.32900000000000001</c:v>
                </c:pt>
                <c:pt idx="7">
                  <c:v>-0.41099999999999998</c:v>
                </c:pt>
                <c:pt idx="8">
                  <c:v>-0.61599999999999999</c:v>
                </c:pt>
                <c:pt idx="9">
                  <c:v>-0.53400000000000003</c:v>
                </c:pt>
                <c:pt idx="10">
                  <c:v>-0.82199999999999995</c:v>
                </c:pt>
                <c:pt idx="11">
                  <c:v>-1.0680000000000001</c:v>
                </c:pt>
                <c:pt idx="12">
                  <c:v>-0.86299999999999999</c:v>
                </c:pt>
                <c:pt idx="13">
                  <c:v>-0.69899999999999995</c:v>
                </c:pt>
                <c:pt idx="14">
                  <c:v>-0.90400000000000003</c:v>
                </c:pt>
                <c:pt idx="15">
                  <c:v>-1.2330000000000001</c:v>
                </c:pt>
                <c:pt idx="16">
                  <c:v>-1.151</c:v>
                </c:pt>
                <c:pt idx="17">
                  <c:v>-0.94499999999999995</c:v>
                </c:pt>
                <c:pt idx="18">
                  <c:v>-0.86299999999999999</c:v>
                </c:pt>
                <c:pt idx="19">
                  <c:v>-0.94499999999999995</c:v>
                </c:pt>
                <c:pt idx="20">
                  <c:v>-1.0269999999999999</c:v>
                </c:pt>
                <c:pt idx="21">
                  <c:v>-1.1919999999999999</c:v>
                </c:pt>
                <c:pt idx="22">
                  <c:v>-1.1919999999999999</c:v>
                </c:pt>
                <c:pt idx="23">
                  <c:v>-1.0680000000000001</c:v>
                </c:pt>
                <c:pt idx="24">
                  <c:v>-1.274</c:v>
                </c:pt>
                <c:pt idx="25">
                  <c:v>-1.3560000000000001</c:v>
                </c:pt>
                <c:pt idx="26">
                  <c:v>-1.3149999999999999</c:v>
                </c:pt>
                <c:pt idx="27">
                  <c:v>-1.3149999999999999</c:v>
                </c:pt>
                <c:pt idx="28">
                  <c:v>-1.274</c:v>
                </c:pt>
                <c:pt idx="29">
                  <c:v>-1.052</c:v>
                </c:pt>
                <c:pt idx="30">
                  <c:v>-0.66800000000000004</c:v>
                </c:pt>
                <c:pt idx="31">
                  <c:v>-0.77700000000000002</c:v>
                </c:pt>
                <c:pt idx="32">
                  <c:v>-1.2430000000000001</c:v>
                </c:pt>
                <c:pt idx="33">
                  <c:v>-1.3979999999999999</c:v>
                </c:pt>
                <c:pt idx="34">
                  <c:v>-1.528</c:v>
                </c:pt>
                <c:pt idx="35">
                  <c:v>-1.476</c:v>
                </c:pt>
                <c:pt idx="36">
                  <c:v>-1.3979999999999999</c:v>
                </c:pt>
                <c:pt idx="37">
                  <c:v>-1.4239999999999999</c:v>
                </c:pt>
                <c:pt idx="38">
                  <c:v>-1.4239999999999999</c:v>
                </c:pt>
                <c:pt idx="39">
                  <c:v>-1.32</c:v>
                </c:pt>
                <c:pt idx="40">
                  <c:v>-1.4239999999999999</c:v>
                </c:pt>
                <c:pt idx="41">
                  <c:v>-1.528</c:v>
                </c:pt>
                <c:pt idx="42">
                  <c:v>-1.3460000000000001</c:v>
                </c:pt>
                <c:pt idx="43">
                  <c:v>-1.476</c:v>
                </c:pt>
                <c:pt idx="44">
                  <c:v>-1.5529999999999999</c:v>
                </c:pt>
                <c:pt idx="45">
                  <c:v>-1.476</c:v>
                </c:pt>
                <c:pt idx="46">
                  <c:v>-1.4239999999999999</c:v>
                </c:pt>
                <c:pt idx="47">
                  <c:v>-1.45</c:v>
                </c:pt>
                <c:pt idx="48">
                  <c:v>-1.5529999999999999</c:v>
                </c:pt>
                <c:pt idx="49">
                  <c:v>-1.603</c:v>
                </c:pt>
                <c:pt idx="50">
                  <c:v>-1.6519999999999999</c:v>
                </c:pt>
                <c:pt idx="51">
                  <c:v>-1.3720000000000001</c:v>
                </c:pt>
                <c:pt idx="52">
                  <c:v>-1.2430000000000001</c:v>
                </c:pt>
                <c:pt idx="53">
                  <c:v>-1.4239999999999999</c:v>
                </c:pt>
                <c:pt idx="54">
                  <c:v>-1.3720000000000001</c:v>
                </c:pt>
                <c:pt idx="55">
                  <c:v>-1.4239999999999999</c:v>
                </c:pt>
                <c:pt idx="56">
                  <c:v>-1.528</c:v>
                </c:pt>
                <c:pt idx="57">
                  <c:v>-1.45</c:v>
                </c:pt>
                <c:pt idx="58">
                  <c:v>-1.45</c:v>
                </c:pt>
                <c:pt idx="59">
                  <c:v>-1.1910000000000001</c:v>
                </c:pt>
                <c:pt idx="60">
                  <c:v>-1.036</c:v>
                </c:pt>
                <c:pt idx="61">
                  <c:v>-1.01</c:v>
                </c:pt>
                <c:pt idx="62">
                  <c:v>-0.88</c:v>
                </c:pt>
                <c:pt idx="63">
                  <c:v>-1.036</c:v>
                </c:pt>
                <c:pt idx="64">
                  <c:v>-0.88</c:v>
                </c:pt>
                <c:pt idx="65">
                  <c:v>-1.165</c:v>
                </c:pt>
                <c:pt idx="66">
                  <c:v>-1.3460000000000001</c:v>
                </c:pt>
                <c:pt idx="67">
                  <c:v>-1.139</c:v>
                </c:pt>
                <c:pt idx="68">
                  <c:v>-1.139</c:v>
                </c:pt>
                <c:pt idx="69">
                  <c:v>-1.1910000000000001</c:v>
                </c:pt>
                <c:pt idx="70">
                  <c:v>-1.139</c:v>
                </c:pt>
                <c:pt idx="71">
                  <c:v>-0.90600000000000003</c:v>
                </c:pt>
                <c:pt idx="72">
                  <c:v>-0.90600000000000003</c:v>
                </c:pt>
                <c:pt idx="73">
                  <c:v>-1.01</c:v>
                </c:pt>
                <c:pt idx="74">
                  <c:v>-1.087</c:v>
                </c:pt>
                <c:pt idx="75">
                  <c:v>-0.98399999999999999</c:v>
                </c:pt>
                <c:pt idx="76">
                  <c:v>-0.88</c:v>
                </c:pt>
                <c:pt idx="77">
                  <c:v>-1.087</c:v>
                </c:pt>
                <c:pt idx="78">
                  <c:v>-1.3460000000000001</c:v>
                </c:pt>
                <c:pt idx="79">
                  <c:v>-1.6830000000000001</c:v>
                </c:pt>
                <c:pt idx="80">
                  <c:v>-1.45</c:v>
                </c:pt>
                <c:pt idx="81">
                  <c:v>-0.90600000000000003</c:v>
                </c:pt>
                <c:pt idx="82">
                  <c:v>-1.0620000000000001</c:v>
                </c:pt>
                <c:pt idx="83">
                  <c:v>-1.165</c:v>
                </c:pt>
                <c:pt idx="84">
                  <c:v>-1.0620000000000001</c:v>
                </c:pt>
                <c:pt idx="85">
                  <c:v>-0.85399999999999998</c:v>
                </c:pt>
                <c:pt idx="86">
                  <c:v>-0.90600000000000003</c:v>
                </c:pt>
                <c:pt idx="87">
                  <c:v>-1.476</c:v>
                </c:pt>
                <c:pt idx="88">
                  <c:v>-1.657</c:v>
                </c:pt>
                <c:pt idx="89">
                  <c:v>-1.579</c:v>
                </c:pt>
                <c:pt idx="90">
                  <c:v>-1.2949999999999999</c:v>
                </c:pt>
                <c:pt idx="91">
                  <c:v>-0.95799999999999996</c:v>
                </c:pt>
                <c:pt idx="92">
                  <c:v>-1.139</c:v>
                </c:pt>
                <c:pt idx="93">
                  <c:v>-1.113</c:v>
                </c:pt>
                <c:pt idx="94">
                  <c:v>-1.113</c:v>
                </c:pt>
                <c:pt idx="95">
                  <c:v>-1.2430000000000001</c:v>
                </c:pt>
                <c:pt idx="96">
                  <c:v>-1.32</c:v>
                </c:pt>
                <c:pt idx="97">
                  <c:v>-1.2949999999999999</c:v>
                </c:pt>
                <c:pt idx="98">
                  <c:v>-0.93200000000000005</c:v>
                </c:pt>
                <c:pt idx="99">
                  <c:v>-0.82899999999999996</c:v>
                </c:pt>
                <c:pt idx="100">
                  <c:v>-1.087</c:v>
                </c:pt>
                <c:pt idx="101">
                  <c:v>-1.1910000000000001</c:v>
                </c:pt>
                <c:pt idx="102">
                  <c:v>-1.087</c:v>
                </c:pt>
                <c:pt idx="103">
                  <c:v>-1.087</c:v>
                </c:pt>
                <c:pt idx="104">
                  <c:v>-1.2689999999999999</c:v>
                </c:pt>
                <c:pt idx="105">
                  <c:v>-1.3979999999999999</c:v>
                </c:pt>
                <c:pt idx="106">
                  <c:v>-1.2689999999999999</c:v>
                </c:pt>
                <c:pt idx="107">
                  <c:v>-0.751</c:v>
                </c:pt>
                <c:pt idx="108">
                  <c:v>-0.46600000000000003</c:v>
                </c:pt>
                <c:pt idx="109">
                  <c:v>-0.85399999999999998</c:v>
                </c:pt>
                <c:pt idx="110">
                  <c:v>-0.98399999999999999</c:v>
                </c:pt>
                <c:pt idx="111">
                  <c:v>-0.88</c:v>
                </c:pt>
                <c:pt idx="112">
                  <c:v>-0.93200000000000005</c:v>
                </c:pt>
                <c:pt idx="113">
                  <c:v>-0.751</c:v>
                </c:pt>
                <c:pt idx="114">
                  <c:v>-0.41399999999999998</c:v>
                </c:pt>
                <c:pt idx="115">
                  <c:v>-0.36199999999999999</c:v>
                </c:pt>
                <c:pt idx="116">
                  <c:v>-0.56999999999999995</c:v>
                </c:pt>
                <c:pt idx="11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D4-4B6C-B779-9352F72F9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5157359"/>
        <c:axId val="1800068703"/>
      </c:scatterChart>
      <c:valAx>
        <c:axId val="1735157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0068703"/>
        <c:crosses val="autoZero"/>
        <c:crossBetween val="midCat"/>
      </c:valAx>
      <c:valAx>
        <c:axId val="1800068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5157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'3 sheets'!$B$1</c:f>
              <c:strCache>
                <c:ptCount val="1"/>
                <c:pt idx="0">
                  <c:v>Y-velocity (m/s)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 sheets'!$A$2:$A$80</c:f>
              <c:numCache>
                <c:formatCode>0.00</c:formatCode>
                <c:ptCount val="79"/>
                <c:pt idx="0">
                  <c:v>0</c:v>
                </c:pt>
                <c:pt idx="1">
                  <c:v>1.7000000000000001E-2</c:v>
                </c:pt>
                <c:pt idx="2">
                  <c:v>3.3000000000000002E-2</c:v>
                </c:pt>
                <c:pt idx="3">
                  <c:v>0.05</c:v>
                </c:pt>
                <c:pt idx="4">
                  <c:v>6.7000000000000004E-2</c:v>
                </c:pt>
                <c:pt idx="5">
                  <c:v>8.3000000000000004E-2</c:v>
                </c:pt>
                <c:pt idx="6">
                  <c:v>0.1</c:v>
                </c:pt>
                <c:pt idx="7">
                  <c:v>0.11700000000000001</c:v>
                </c:pt>
                <c:pt idx="8">
                  <c:v>0.13300000000000001</c:v>
                </c:pt>
                <c:pt idx="9">
                  <c:v>0.15</c:v>
                </c:pt>
                <c:pt idx="10">
                  <c:v>0.16700000000000001</c:v>
                </c:pt>
                <c:pt idx="11">
                  <c:v>0.183</c:v>
                </c:pt>
                <c:pt idx="12">
                  <c:v>0.2</c:v>
                </c:pt>
                <c:pt idx="13">
                  <c:v>0.217</c:v>
                </c:pt>
                <c:pt idx="14">
                  <c:v>0.23300000000000001</c:v>
                </c:pt>
                <c:pt idx="15">
                  <c:v>0.25</c:v>
                </c:pt>
                <c:pt idx="16">
                  <c:v>0.26700000000000002</c:v>
                </c:pt>
                <c:pt idx="17">
                  <c:v>0.28299999999999997</c:v>
                </c:pt>
                <c:pt idx="18">
                  <c:v>0.30199999999999999</c:v>
                </c:pt>
                <c:pt idx="19">
                  <c:v>0.318</c:v>
                </c:pt>
                <c:pt idx="20">
                  <c:v>0.33500000000000002</c:v>
                </c:pt>
                <c:pt idx="21">
                  <c:v>0.35199999999999998</c:v>
                </c:pt>
                <c:pt idx="22">
                  <c:v>0.36799999999999999</c:v>
                </c:pt>
                <c:pt idx="23">
                  <c:v>0.38500000000000001</c:v>
                </c:pt>
                <c:pt idx="24">
                  <c:v>0.40200000000000002</c:v>
                </c:pt>
                <c:pt idx="25">
                  <c:v>0.41799999999999998</c:v>
                </c:pt>
                <c:pt idx="26">
                  <c:v>0.435</c:v>
                </c:pt>
                <c:pt idx="27">
                  <c:v>0.45200000000000001</c:v>
                </c:pt>
                <c:pt idx="28">
                  <c:v>0.46800000000000003</c:v>
                </c:pt>
                <c:pt idx="29">
                  <c:v>0.48499999999999999</c:v>
                </c:pt>
                <c:pt idx="30">
                  <c:v>0.502</c:v>
                </c:pt>
                <c:pt idx="31">
                  <c:v>0.51800000000000002</c:v>
                </c:pt>
                <c:pt idx="32">
                  <c:v>0.53500000000000003</c:v>
                </c:pt>
                <c:pt idx="33">
                  <c:v>0.55200000000000005</c:v>
                </c:pt>
                <c:pt idx="34">
                  <c:v>0.56799999999999995</c:v>
                </c:pt>
                <c:pt idx="35">
                  <c:v>0.58499999999999996</c:v>
                </c:pt>
                <c:pt idx="36">
                  <c:v>0.60199999999999998</c:v>
                </c:pt>
                <c:pt idx="37">
                  <c:v>0.61799999999999999</c:v>
                </c:pt>
                <c:pt idx="38">
                  <c:v>0.63500000000000001</c:v>
                </c:pt>
                <c:pt idx="39">
                  <c:v>0.65200000000000002</c:v>
                </c:pt>
                <c:pt idx="40">
                  <c:v>0.66800000000000004</c:v>
                </c:pt>
                <c:pt idx="41">
                  <c:v>0.68500000000000005</c:v>
                </c:pt>
                <c:pt idx="42">
                  <c:v>0.70199999999999996</c:v>
                </c:pt>
                <c:pt idx="43">
                  <c:v>0.71799999999999997</c:v>
                </c:pt>
                <c:pt idx="44">
                  <c:v>0.73499999999999999</c:v>
                </c:pt>
                <c:pt idx="45">
                  <c:v>0.752</c:v>
                </c:pt>
                <c:pt idx="46">
                  <c:v>0.76800000000000002</c:v>
                </c:pt>
                <c:pt idx="47">
                  <c:v>0.78500000000000003</c:v>
                </c:pt>
                <c:pt idx="48">
                  <c:v>0.80200000000000005</c:v>
                </c:pt>
                <c:pt idx="49">
                  <c:v>0.81799999999999995</c:v>
                </c:pt>
                <c:pt idx="50">
                  <c:v>0.83499999999999996</c:v>
                </c:pt>
                <c:pt idx="51">
                  <c:v>0.85199999999999998</c:v>
                </c:pt>
                <c:pt idx="52">
                  <c:v>0.86799999999999999</c:v>
                </c:pt>
                <c:pt idx="53">
                  <c:v>0.88500000000000001</c:v>
                </c:pt>
                <c:pt idx="54">
                  <c:v>0.90200000000000002</c:v>
                </c:pt>
                <c:pt idx="55">
                  <c:v>0.91800000000000004</c:v>
                </c:pt>
                <c:pt idx="56">
                  <c:v>0.93500000000000005</c:v>
                </c:pt>
                <c:pt idx="57">
                  <c:v>0.95199999999999996</c:v>
                </c:pt>
                <c:pt idx="58">
                  <c:v>0.96799999999999997</c:v>
                </c:pt>
                <c:pt idx="59">
                  <c:v>0.98499999999999999</c:v>
                </c:pt>
                <c:pt idx="60">
                  <c:v>1.002</c:v>
                </c:pt>
                <c:pt idx="61">
                  <c:v>1.018</c:v>
                </c:pt>
                <c:pt idx="62">
                  <c:v>1.0349999999999999</c:v>
                </c:pt>
                <c:pt idx="63">
                  <c:v>1.052</c:v>
                </c:pt>
                <c:pt idx="64">
                  <c:v>1.0680000000000001</c:v>
                </c:pt>
                <c:pt idx="65">
                  <c:v>1.085</c:v>
                </c:pt>
                <c:pt idx="66">
                  <c:v>1.1020000000000001</c:v>
                </c:pt>
                <c:pt idx="67">
                  <c:v>1.1180000000000001</c:v>
                </c:pt>
                <c:pt idx="68">
                  <c:v>1.135</c:v>
                </c:pt>
                <c:pt idx="69">
                  <c:v>1.1519999999999999</c:v>
                </c:pt>
                <c:pt idx="70">
                  <c:v>1.1679999999999999</c:v>
                </c:pt>
                <c:pt idx="71">
                  <c:v>1.1850000000000001</c:v>
                </c:pt>
                <c:pt idx="72">
                  <c:v>1.202</c:v>
                </c:pt>
                <c:pt idx="73">
                  <c:v>1.218</c:v>
                </c:pt>
                <c:pt idx="74">
                  <c:v>1.2350000000000001</c:v>
                </c:pt>
                <c:pt idx="75">
                  <c:v>1.252</c:v>
                </c:pt>
                <c:pt idx="76">
                  <c:v>1.268</c:v>
                </c:pt>
              </c:numCache>
            </c:numRef>
          </c:xVal>
          <c:yVal>
            <c:numRef>
              <c:f>'3 sheets'!$B$2:$B$80</c:f>
              <c:numCache>
                <c:formatCode>0.00</c:formatCode>
                <c:ptCount val="79"/>
                <c:pt idx="0">
                  <c:v>0</c:v>
                </c:pt>
                <c:pt idx="1">
                  <c:v>-0.33800000000000002</c:v>
                </c:pt>
                <c:pt idx="2">
                  <c:v>-0.246</c:v>
                </c:pt>
                <c:pt idx="3">
                  <c:v>-0.246</c:v>
                </c:pt>
                <c:pt idx="4">
                  <c:v>-0.36899999999999999</c:v>
                </c:pt>
                <c:pt idx="5">
                  <c:v>-0.49199999999999999</c:v>
                </c:pt>
                <c:pt idx="6">
                  <c:v>-0.70699999999999996</c:v>
                </c:pt>
                <c:pt idx="7">
                  <c:v>-1.0760000000000001</c:v>
                </c:pt>
                <c:pt idx="8">
                  <c:v>-1.0149999999999999</c:v>
                </c:pt>
                <c:pt idx="9">
                  <c:v>-0.95299999999999996</c:v>
                </c:pt>
                <c:pt idx="10">
                  <c:v>-1.1379999999999999</c:v>
                </c:pt>
                <c:pt idx="11">
                  <c:v>-1.476</c:v>
                </c:pt>
                <c:pt idx="12">
                  <c:v>-1.5069999999999999</c:v>
                </c:pt>
                <c:pt idx="13">
                  <c:v>-1.292</c:v>
                </c:pt>
                <c:pt idx="14">
                  <c:v>-1.5069999999999999</c:v>
                </c:pt>
                <c:pt idx="15">
                  <c:v>-1.63</c:v>
                </c:pt>
                <c:pt idx="16">
                  <c:v>-1.599</c:v>
                </c:pt>
                <c:pt idx="17">
                  <c:v>-1.5229999999999999</c:v>
                </c:pt>
                <c:pt idx="18">
                  <c:v>-1.6990000000000001</c:v>
                </c:pt>
                <c:pt idx="19">
                  <c:v>-1.907</c:v>
                </c:pt>
                <c:pt idx="20">
                  <c:v>-1.63</c:v>
                </c:pt>
                <c:pt idx="21">
                  <c:v>-1.6919999999999999</c:v>
                </c:pt>
                <c:pt idx="22">
                  <c:v>-1.7529999999999999</c:v>
                </c:pt>
                <c:pt idx="23">
                  <c:v>-1.8149999999999999</c:v>
                </c:pt>
                <c:pt idx="24">
                  <c:v>-2.0609999999999999</c:v>
                </c:pt>
                <c:pt idx="25">
                  <c:v>-2.0910000000000002</c:v>
                </c:pt>
                <c:pt idx="26">
                  <c:v>-2.0299999999999998</c:v>
                </c:pt>
                <c:pt idx="27">
                  <c:v>-2.399</c:v>
                </c:pt>
                <c:pt idx="28">
                  <c:v>-2.4910000000000001</c:v>
                </c:pt>
                <c:pt idx="29">
                  <c:v>-2.0609999999999999</c:v>
                </c:pt>
                <c:pt idx="30">
                  <c:v>-2.25</c:v>
                </c:pt>
                <c:pt idx="31">
                  <c:v>-2.3159999999999998</c:v>
                </c:pt>
                <c:pt idx="32">
                  <c:v>-2.1970000000000001</c:v>
                </c:pt>
                <c:pt idx="33">
                  <c:v>-2.319</c:v>
                </c:pt>
                <c:pt idx="34">
                  <c:v>-2.1970000000000001</c:v>
                </c:pt>
                <c:pt idx="35">
                  <c:v>-2.1970000000000001</c:v>
                </c:pt>
                <c:pt idx="36">
                  <c:v>-2.3119999999999998</c:v>
                </c:pt>
                <c:pt idx="37">
                  <c:v>-2.2629999999999999</c:v>
                </c:pt>
                <c:pt idx="38">
                  <c:v>-2.274</c:v>
                </c:pt>
                <c:pt idx="39">
                  <c:v>-2.302</c:v>
                </c:pt>
                <c:pt idx="40">
                  <c:v>-2.1920000000000002</c:v>
                </c:pt>
                <c:pt idx="41">
                  <c:v>-2</c:v>
                </c:pt>
                <c:pt idx="42">
                  <c:v>-2.2200000000000002</c:v>
                </c:pt>
                <c:pt idx="43">
                  <c:v>-2.137</c:v>
                </c:pt>
                <c:pt idx="44">
                  <c:v>-1.863</c:v>
                </c:pt>
                <c:pt idx="45">
                  <c:v>-2.302</c:v>
                </c:pt>
                <c:pt idx="46">
                  <c:v>-2.2469999999999999</c:v>
                </c:pt>
                <c:pt idx="47">
                  <c:v>-2.11</c:v>
                </c:pt>
                <c:pt idx="48">
                  <c:v>-2.044</c:v>
                </c:pt>
                <c:pt idx="49">
                  <c:v>-1.544</c:v>
                </c:pt>
                <c:pt idx="50">
                  <c:v>-1.55</c:v>
                </c:pt>
                <c:pt idx="51">
                  <c:v>-2.1120000000000001</c:v>
                </c:pt>
                <c:pt idx="52">
                  <c:v>-2.0920000000000001</c:v>
                </c:pt>
                <c:pt idx="53">
                  <c:v>-1.55</c:v>
                </c:pt>
                <c:pt idx="54">
                  <c:v>-1.4339999999999999</c:v>
                </c:pt>
                <c:pt idx="55">
                  <c:v>-1.976</c:v>
                </c:pt>
                <c:pt idx="56">
                  <c:v>-1.86</c:v>
                </c:pt>
                <c:pt idx="57">
                  <c:v>-1.821</c:v>
                </c:pt>
                <c:pt idx="58">
                  <c:v>-2.0409999999999999</c:v>
                </c:pt>
                <c:pt idx="59">
                  <c:v>-1.599</c:v>
                </c:pt>
                <c:pt idx="60">
                  <c:v>-1.5189999999999999</c:v>
                </c:pt>
                <c:pt idx="61">
                  <c:v>-1.6910000000000001</c:v>
                </c:pt>
                <c:pt idx="62">
                  <c:v>-1.968</c:v>
                </c:pt>
                <c:pt idx="63">
                  <c:v>-1.8120000000000001</c:v>
                </c:pt>
                <c:pt idx="64">
                  <c:v>-1.6220000000000001</c:v>
                </c:pt>
                <c:pt idx="65">
                  <c:v>-1.8640000000000001</c:v>
                </c:pt>
                <c:pt idx="66">
                  <c:v>-2.0710000000000002</c:v>
                </c:pt>
                <c:pt idx="67">
                  <c:v>-2.2679999999999998</c:v>
                </c:pt>
                <c:pt idx="68">
                  <c:v>-1.907</c:v>
                </c:pt>
                <c:pt idx="69">
                  <c:v>-1.399</c:v>
                </c:pt>
                <c:pt idx="70">
                  <c:v>-1.492</c:v>
                </c:pt>
                <c:pt idx="71">
                  <c:v>-1.4610000000000001</c:v>
                </c:pt>
                <c:pt idx="72">
                  <c:v>-1.738</c:v>
                </c:pt>
                <c:pt idx="73">
                  <c:v>-2.0609999999999999</c:v>
                </c:pt>
                <c:pt idx="74">
                  <c:v>-1.5529999999999999</c:v>
                </c:pt>
                <c:pt idx="75">
                  <c:v>-1.0609999999999999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12-475A-AFA8-173632692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4175503"/>
        <c:axId val="1727134399"/>
      </c:scatterChart>
      <c:valAx>
        <c:axId val="1734175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134399"/>
        <c:crosses val="autoZero"/>
        <c:crossBetween val="midCat"/>
      </c:valAx>
      <c:valAx>
        <c:axId val="1727134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175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'4 sheets'!$B$1</c:f>
              <c:strCache>
                <c:ptCount val="1"/>
                <c:pt idx="0">
                  <c:v>Y-velocity (m/s)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 sheets'!$A$2:$A$95</c:f>
              <c:numCache>
                <c:formatCode>0.00</c:formatCode>
                <c:ptCount val="94"/>
                <c:pt idx="0">
                  <c:v>0</c:v>
                </c:pt>
                <c:pt idx="1">
                  <c:v>1.7000000000000001E-2</c:v>
                </c:pt>
                <c:pt idx="2">
                  <c:v>3.3000000000000002E-2</c:v>
                </c:pt>
                <c:pt idx="3">
                  <c:v>0.05</c:v>
                </c:pt>
                <c:pt idx="4">
                  <c:v>6.7000000000000004E-2</c:v>
                </c:pt>
                <c:pt idx="5">
                  <c:v>8.3000000000000004E-2</c:v>
                </c:pt>
                <c:pt idx="6">
                  <c:v>0.1</c:v>
                </c:pt>
                <c:pt idx="7">
                  <c:v>0.11700000000000001</c:v>
                </c:pt>
                <c:pt idx="8">
                  <c:v>0.13300000000000001</c:v>
                </c:pt>
                <c:pt idx="9">
                  <c:v>0.15</c:v>
                </c:pt>
                <c:pt idx="10">
                  <c:v>0.16700000000000001</c:v>
                </c:pt>
                <c:pt idx="11">
                  <c:v>0.183</c:v>
                </c:pt>
                <c:pt idx="12">
                  <c:v>0.2</c:v>
                </c:pt>
                <c:pt idx="13">
                  <c:v>0.217</c:v>
                </c:pt>
                <c:pt idx="14">
                  <c:v>0.23300000000000001</c:v>
                </c:pt>
                <c:pt idx="15">
                  <c:v>0.25</c:v>
                </c:pt>
                <c:pt idx="16">
                  <c:v>0.26700000000000002</c:v>
                </c:pt>
                <c:pt idx="17">
                  <c:v>0.28299999999999997</c:v>
                </c:pt>
                <c:pt idx="18">
                  <c:v>0.3</c:v>
                </c:pt>
                <c:pt idx="19">
                  <c:v>0.317</c:v>
                </c:pt>
                <c:pt idx="20">
                  <c:v>0.33300000000000002</c:v>
                </c:pt>
                <c:pt idx="21">
                  <c:v>0.35</c:v>
                </c:pt>
                <c:pt idx="22">
                  <c:v>0.36699999999999999</c:v>
                </c:pt>
                <c:pt idx="23">
                  <c:v>0.38300000000000001</c:v>
                </c:pt>
                <c:pt idx="24">
                  <c:v>0.4</c:v>
                </c:pt>
                <c:pt idx="25">
                  <c:v>0.41699999999999998</c:v>
                </c:pt>
                <c:pt idx="26">
                  <c:v>0.433</c:v>
                </c:pt>
                <c:pt idx="27">
                  <c:v>0.45</c:v>
                </c:pt>
                <c:pt idx="28">
                  <c:v>0.46700000000000003</c:v>
                </c:pt>
                <c:pt idx="29">
                  <c:v>0.48299999999999998</c:v>
                </c:pt>
                <c:pt idx="30">
                  <c:v>0.5</c:v>
                </c:pt>
                <c:pt idx="31">
                  <c:v>0.51800000000000002</c:v>
                </c:pt>
                <c:pt idx="32">
                  <c:v>0.53500000000000003</c:v>
                </c:pt>
                <c:pt idx="33">
                  <c:v>0.55200000000000005</c:v>
                </c:pt>
                <c:pt idx="34">
                  <c:v>0.56799999999999995</c:v>
                </c:pt>
                <c:pt idx="35">
                  <c:v>0.58499999999999996</c:v>
                </c:pt>
                <c:pt idx="36">
                  <c:v>0.60199999999999998</c:v>
                </c:pt>
                <c:pt idx="37">
                  <c:v>0.61799999999999999</c:v>
                </c:pt>
                <c:pt idx="38">
                  <c:v>0.63500000000000001</c:v>
                </c:pt>
                <c:pt idx="39">
                  <c:v>0.65200000000000002</c:v>
                </c:pt>
                <c:pt idx="40">
                  <c:v>0.66800000000000004</c:v>
                </c:pt>
                <c:pt idx="41">
                  <c:v>0.68500000000000005</c:v>
                </c:pt>
                <c:pt idx="42">
                  <c:v>0.70199999999999996</c:v>
                </c:pt>
                <c:pt idx="43">
                  <c:v>0.71799999999999997</c:v>
                </c:pt>
                <c:pt idx="44">
                  <c:v>0.73499999999999999</c:v>
                </c:pt>
                <c:pt idx="45">
                  <c:v>0.752</c:v>
                </c:pt>
                <c:pt idx="46">
                  <c:v>0.76800000000000002</c:v>
                </c:pt>
                <c:pt idx="47">
                  <c:v>0.78500000000000003</c:v>
                </c:pt>
                <c:pt idx="48">
                  <c:v>0.80200000000000005</c:v>
                </c:pt>
                <c:pt idx="49">
                  <c:v>0.81799999999999995</c:v>
                </c:pt>
                <c:pt idx="50">
                  <c:v>0.83499999999999996</c:v>
                </c:pt>
                <c:pt idx="51">
                  <c:v>0.85199999999999998</c:v>
                </c:pt>
                <c:pt idx="52">
                  <c:v>0.86799999999999999</c:v>
                </c:pt>
                <c:pt idx="53">
                  <c:v>0.88500000000000001</c:v>
                </c:pt>
                <c:pt idx="54">
                  <c:v>0.90200000000000002</c:v>
                </c:pt>
                <c:pt idx="55">
                  <c:v>0.91800000000000004</c:v>
                </c:pt>
                <c:pt idx="56">
                  <c:v>0.93500000000000005</c:v>
                </c:pt>
                <c:pt idx="57">
                  <c:v>0.95199999999999996</c:v>
                </c:pt>
                <c:pt idx="58">
                  <c:v>0.96799999999999997</c:v>
                </c:pt>
                <c:pt idx="59">
                  <c:v>0.98499999999999999</c:v>
                </c:pt>
                <c:pt idx="60">
                  <c:v>1.002</c:v>
                </c:pt>
                <c:pt idx="61">
                  <c:v>1.018</c:v>
                </c:pt>
                <c:pt idx="62">
                  <c:v>1.0349999999999999</c:v>
                </c:pt>
                <c:pt idx="63">
                  <c:v>1.052</c:v>
                </c:pt>
                <c:pt idx="64">
                  <c:v>1.0680000000000001</c:v>
                </c:pt>
                <c:pt idx="65">
                  <c:v>1.085</c:v>
                </c:pt>
                <c:pt idx="66">
                  <c:v>1.1020000000000001</c:v>
                </c:pt>
                <c:pt idx="67">
                  <c:v>1.1180000000000001</c:v>
                </c:pt>
                <c:pt idx="68">
                  <c:v>1.135</c:v>
                </c:pt>
                <c:pt idx="69">
                  <c:v>1.1519999999999999</c:v>
                </c:pt>
                <c:pt idx="70">
                  <c:v>1.1679999999999999</c:v>
                </c:pt>
                <c:pt idx="71">
                  <c:v>1.1850000000000001</c:v>
                </c:pt>
                <c:pt idx="72">
                  <c:v>1.202</c:v>
                </c:pt>
                <c:pt idx="73">
                  <c:v>1.218</c:v>
                </c:pt>
                <c:pt idx="74">
                  <c:v>1.2350000000000001</c:v>
                </c:pt>
                <c:pt idx="75">
                  <c:v>1.252</c:v>
                </c:pt>
                <c:pt idx="76">
                  <c:v>1.268</c:v>
                </c:pt>
                <c:pt idx="77">
                  <c:v>1.2849999999999999</c:v>
                </c:pt>
                <c:pt idx="78">
                  <c:v>1.302</c:v>
                </c:pt>
                <c:pt idx="79">
                  <c:v>1.3180000000000001</c:v>
                </c:pt>
                <c:pt idx="80">
                  <c:v>1.335</c:v>
                </c:pt>
                <c:pt idx="81">
                  <c:v>1.3520000000000001</c:v>
                </c:pt>
                <c:pt idx="82">
                  <c:v>1.3680000000000001</c:v>
                </c:pt>
                <c:pt idx="83">
                  <c:v>1.385</c:v>
                </c:pt>
                <c:pt idx="84">
                  <c:v>1.4019999999999999</c:v>
                </c:pt>
                <c:pt idx="85">
                  <c:v>1.4179999999999999</c:v>
                </c:pt>
                <c:pt idx="86">
                  <c:v>1.4350000000000001</c:v>
                </c:pt>
                <c:pt idx="87">
                  <c:v>1.452</c:v>
                </c:pt>
                <c:pt idx="88">
                  <c:v>1.468</c:v>
                </c:pt>
                <c:pt idx="89">
                  <c:v>1.4850000000000001</c:v>
                </c:pt>
                <c:pt idx="90">
                  <c:v>1.502</c:v>
                </c:pt>
                <c:pt idx="91">
                  <c:v>1.518</c:v>
                </c:pt>
                <c:pt idx="92">
                  <c:v>1.5349999999999999</c:v>
                </c:pt>
              </c:numCache>
            </c:numRef>
          </c:xVal>
          <c:yVal>
            <c:numRef>
              <c:f>'4 sheets'!$B$2:$B$95</c:f>
              <c:numCache>
                <c:formatCode>0.00</c:formatCode>
                <c:ptCount val="94"/>
                <c:pt idx="0">
                  <c:v>0</c:v>
                </c:pt>
                <c:pt idx="1">
                  <c:v>-0.46300000000000002</c:v>
                </c:pt>
                <c:pt idx="2">
                  <c:v>-0.27</c:v>
                </c:pt>
                <c:pt idx="3">
                  <c:v>-0.42399999999999999</c:v>
                </c:pt>
                <c:pt idx="4">
                  <c:v>-0.84799999999999998</c:v>
                </c:pt>
                <c:pt idx="5">
                  <c:v>-0.96399999999999997</c:v>
                </c:pt>
                <c:pt idx="6">
                  <c:v>-0.69399999999999995</c:v>
                </c:pt>
                <c:pt idx="7">
                  <c:v>-0.77100000000000002</c:v>
                </c:pt>
                <c:pt idx="8">
                  <c:v>-0.92500000000000004</c:v>
                </c:pt>
                <c:pt idx="9">
                  <c:v>-1.08</c:v>
                </c:pt>
                <c:pt idx="10">
                  <c:v>-1.272</c:v>
                </c:pt>
                <c:pt idx="11">
                  <c:v>-1.157</c:v>
                </c:pt>
                <c:pt idx="12">
                  <c:v>-1.234</c:v>
                </c:pt>
                <c:pt idx="13">
                  <c:v>-1.4650000000000001</c:v>
                </c:pt>
                <c:pt idx="14">
                  <c:v>-1.427</c:v>
                </c:pt>
                <c:pt idx="15">
                  <c:v>-1.581</c:v>
                </c:pt>
                <c:pt idx="16">
                  <c:v>-1.504</c:v>
                </c:pt>
                <c:pt idx="17">
                  <c:v>-1.4650000000000001</c:v>
                </c:pt>
                <c:pt idx="18">
                  <c:v>-1.504</c:v>
                </c:pt>
                <c:pt idx="19">
                  <c:v>-1.272</c:v>
                </c:pt>
                <c:pt idx="20">
                  <c:v>-1.4650000000000001</c:v>
                </c:pt>
                <c:pt idx="21">
                  <c:v>-1.581</c:v>
                </c:pt>
                <c:pt idx="22">
                  <c:v>-1.504</c:v>
                </c:pt>
                <c:pt idx="23">
                  <c:v>-1.7350000000000001</c:v>
                </c:pt>
                <c:pt idx="24">
                  <c:v>-1.851</c:v>
                </c:pt>
                <c:pt idx="25">
                  <c:v>-1.889</c:v>
                </c:pt>
                <c:pt idx="26">
                  <c:v>-2.198</c:v>
                </c:pt>
                <c:pt idx="27">
                  <c:v>-1.6579999999999999</c:v>
                </c:pt>
                <c:pt idx="28">
                  <c:v>-1.4650000000000001</c:v>
                </c:pt>
                <c:pt idx="29">
                  <c:v>-2.1589999999999998</c:v>
                </c:pt>
                <c:pt idx="30">
                  <c:v>-2.02</c:v>
                </c:pt>
                <c:pt idx="31">
                  <c:v>-1.6160000000000001</c:v>
                </c:pt>
                <c:pt idx="32">
                  <c:v>-1.542</c:v>
                </c:pt>
                <c:pt idx="33">
                  <c:v>-1.8120000000000001</c:v>
                </c:pt>
                <c:pt idx="34">
                  <c:v>-1.851</c:v>
                </c:pt>
                <c:pt idx="35">
                  <c:v>-1.4650000000000001</c:v>
                </c:pt>
                <c:pt idx="36">
                  <c:v>-1.504</c:v>
                </c:pt>
                <c:pt idx="37">
                  <c:v>-1.774</c:v>
                </c:pt>
                <c:pt idx="38">
                  <c:v>-1.889</c:v>
                </c:pt>
                <c:pt idx="39">
                  <c:v>-1.9279999999999999</c:v>
                </c:pt>
                <c:pt idx="40">
                  <c:v>-2.081</c:v>
                </c:pt>
                <c:pt idx="41">
                  <c:v>-1.7969999999999999</c:v>
                </c:pt>
                <c:pt idx="42">
                  <c:v>-1.5549999999999999</c:v>
                </c:pt>
                <c:pt idx="43">
                  <c:v>-1.9430000000000001</c:v>
                </c:pt>
                <c:pt idx="44">
                  <c:v>-1.992</c:v>
                </c:pt>
                <c:pt idx="45">
                  <c:v>-1.7010000000000001</c:v>
                </c:pt>
                <c:pt idx="46">
                  <c:v>-1.506</c:v>
                </c:pt>
                <c:pt idx="47">
                  <c:v>-1.603</c:v>
                </c:pt>
                <c:pt idx="48">
                  <c:v>-1.8460000000000001</c:v>
                </c:pt>
                <c:pt idx="49">
                  <c:v>-1.6519999999999999</c:v>
                </c:pt>
                <c:pt idx="50">
                  <c:v>-1.458</c:v>
                </c:pt>
                <c:pt idx="51">
                  <c:v>-1.1659999999999999</c:v>
                </c:pt>
                <c:pt idx="52">
                  <c:v>-1.2150000000000001</c:v>
                </c:pt>
                <c:pt idx="53">
                  <c:v>-1.6519999999999999</c:v>
                </c:pt>
                <c:pt idx="54">
                  <c:v>-1.36</c:v>
                </c:pt>
                <c:pt idx="55">
                  <c:v>-1.2629999999999999</c:v>
                </c:pt>
                <c:pt idx="56">
                  <c:v>-1.458</c:v>
                </c:pt>
                <c:pt idx="57">
                  <c:v>-1.603</c:v>
                </c:pt>
                <c:pt idx="58">
                  <c:v>-1.7010000000000001</c:v>
                </c:pt>
                <c:pt idx="59">
                  <c:v>-1.36</c:v>
                </c:pt>
                <c:pt idx="60">
                  <c:v>-1.3120000000000001</c:v>
                </c:pt>
                <c:pt idx="61">
                  <c:v>-1.798</c:v>
                </c:pt>
                <c:pt idx="62">
                  <c:v>-1.7490000000000001</c:v>
                </c:pt>
                <c:pt idx="63">
                  <c:v>-1.409</c:v>
                </c:pt>
                <c:pt idx="64">
                  <c:v>-1.1659999999999999</c:v>
                </c:pt>
                <c:pt idx="65">
                  <c:v>-1.409</c:v>
                </c:pt>
                <c:pt idx="66">
                  <c:v>-1.9430000000000001</c:v>
                </c:pt>
                <c:pt idx="67">
                  <c:v>-1.603</c:v>
                </c:pt>
                <c:pt idx="68">
                  <c:v>-1.409</c:v>
                </c:pt>
                <c:pt idx="69">
                  <c:v>-1.7010000000000001</c:v>
                </c:pt>
                <c:pt idx="70">
                  <c:v>-1.7010000000000001</c:v>
                </c:pt>
                <c:pt idx="71">
                  <c:v>-1.603</c:v>
                </c:pt>
                <c:pt idx="72">
                  <c:v>-1.798</c:v>
                </c:pt>
                <c:pt idx="73">
                  <c:v>-1.7490000000000001</c:v>
                </c:pt>
                <c:pt idx="74">
                  <c:v>-1.7010000000000001</c:v>
                </c:pt>
                <c:pt idx="75">
                  <c:v>-1.6519999999999999</c:v>
                </c:pt>
                <c:pt idx="76">
                  <c:v>-1.7490000000000001</c:v>
                </c:pt>
                <c:pt idx="77">
                  <c:v>-1.992</c:v>
                </c:pt>
                <c:pt idx="78">
                  <c:v>-1.895</c:v>
                </c:pt>
                <c:pt idx="79">
                  <c:v>-1.798</c:v>
                </c:pt>
                <c:pt idx="80">
                  <c:v>-1.458</c:v>
                </c:pt>
                <c:pt idx="81">
                  <c:v>-1.506</c:v>
                </c:pt>
                <c:pt idx="82">
                  <c:v>-1.895</c:v>
                </c:pt>
                <c:pt idx="83">
                  <c:v>-1.458</c:v>
                </c:pt>
                <c:pt idx="84">
                  <c:v>-1.3120000000000001</c:v>
                </c:pt>
                <c:pt idx="85">
                  <c:v>-1.798</c:v>
                </c:pt>
                <c:pt idx="86">
                  <c:v>-1.7010000000000001</c:v>
                </c:pt>
                <c:pt idx="87">
                  <c:v>-1.6519999999999999</c:v>
                </c:pt>
                <c:pt idx="88">
                  <c:v>-1.5549999999999999</c:v>
                </c:pt>
                <c:pt idx="89">
                  <c:v>-1.409</c:v>
                </c:pt>
                <c:pt idx="90">
                  <c:v>-1.409</c:v>
                </c:pt>
                <c:pt idx="91">
                  <c:v>-0.72899999999999998</c:v>
                </c:pt>
                <c:pt idx="9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1F-4343-9745-70554BB322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0652479"/>
        <c:axId val="1789635967"/>
      </c:scatterChart>
      <c:valAx>
        <c:axId val="1730652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9635967"/>
        <c:crosses val="autoZero"/>
        <c:crossBetween val="midCat"/>
      </c:valAx>
      <c:valAx>
        <c:axId val="1789635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652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'5 sheets'!$B$1</c:f>
              <c:strCache>
                <c:ptCount val="1"/>
                <c:pt idx="0">
                  <c:v>Y-velocity (m/s)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 sheets'!$A$2:$A$81</c:f>
              <c:numCache>
                <c:formatCode>0.00</c:formatCode>
                <c:ptCount val="80"/>
                <c:pt idx="0">
                  <c:v>0</c:v>
                </c:pt>
                <c:pt idx="1">
                  <c:v>1.7000000000000001E-2</c:v>
                </c:pt>
                <c:pt idx="2">
                  <c:v>3.3000000000000002E-2</c:v>
                </c:pt>
                <c:pt idx="3">
                  <c:v>0.05</c:v>
                </c:pt>
                <c:pt idx="4">
                  <c:v>6.7000000000000004E-2</c:v>
                </c:pt>
                <c:pt idx="5">
                  <c:v>8.3000000000000004E-2</c:v>
                </c:pt>
                <c:pt idx="6">
                  <c:v>0.1</c:v>
                </c:pt>
                <c:pt idx="7">
                  <c:v>0.11700000000000001</c:v>
                </c:pt>
                <c:pt idx="8">
                  <c:v>0.13300000000000001</c:v>
                </c:pt>
                <c:pt idx="9">
                  <c:v>0.15</c:v>
                </c:pt>
                <c:pt idx="10">
                  <c:v>0.16700000000000001</c:v>
                </c:pt>
                <c:pt idx="11">
                  <c:v>0.183</c:v>
                </c:pt>
                <c:pt idx="12">
                  <c:v>0.2</c:v>
                </c:pt>
                <c:pt idx="13">
                  <c:v>0.217</c:v>
                </c:pt>
                <c:pt idx="14">
                  <c:v>0.23300000000000001</c:v>
                </c:pt>
                <c:pt idx="15">
                  <c:v>0.25</c:v>
                </c:pt>
                <c:pt idx="16">
                  <c:v>0.26700000000000002</c:v>
                </c:pt>
                <c:pt idx="17">
                  <c:v>0.28299999999999997</c:v>
                </c:pt>
                <c:pt idx="18">
                  <c:v>0.3</c:v>
                </c:pt>
                <c:pt idx="19">
                  <c:v>0.317</c:v>
                </c:pt>
                <c:pt idx="20">
                  <c:v>0.33300000000000002</c:v>
                </c:pt>
                <c:pt idx="21">
                  <c:v>0.35</c:v>
                </c:pt>
                <c:pt idx="22">
                  <c:v>0.36699999999999999</c:v>
                </c:pt>
                <c:pt idx="23">
                  <c:v>0.38300000000000001</c:v>
                </c:pt>
                <c:pt idx="24">
                  <c:v>0.4</c:v>
                </c:pt>
                <c:pt idx="25">
                  <c:v>0.41699999999999998</c:v>
                </c:pt>
                <c:pt idx="26">
                  <c:v>0.433</c:v>
                </c:pt>
                <c:pt idx="27">
                  <c:v>0.45</c:v>
                </c:pt>
                <c:pt idx="28">
                  <c:v>0.46700000000000003</c:v>
                </c:pt>
                <c:pt idx="29">
                  <c:v>0.48299999999999998</c:v>
                </c:pt>
                <c:pt idx="30">
                  <c:v>0.5</c:v>
                </c:pt>
                <c:pt idx="31">
                  <c:v>0.51700000000000002</c:v>
                </c:pt>
                <c:pt idx="32">
                  <c:v>0.53300000000000003</c:v>
                </c:pt>
                <c:pt idx="33">
                  <c:v>0.55000000000000004</c:v>
                </c:pt>
                <c:pt idx="34">
                  <c:v>0.56699999999999995</c:v>
                </c:pt>
                <c:pt idx="35">
                  <c:v>0.58299999999999996</c:v>
                </c:pt>
                <c:pt idx="36">
                  <c:v>0.6</c:v>
                </c:pt>
                <c:pt idx="37">
                  <c:v>0.61699999999999999</c:v>
                </c:pt>
                <c:pt idx="38">
                  <c:v>0.63300000000000001</c:v>
                </c:pt>
                <c:pt idx="39">
                  <c:v>0.65</c:v>
                </c:pt>
                <c:pt idx="40">
                  <c:v>0.66700000000000004</c:v>
                </c:pt>
                <c:pt idx="41">
                  <c:v>0.68300000000000005</c:v>
                </c:pt>
                <c:pt idx="42">
                  <c:v>0.7</c:v>
                </c:pt>
                <c:pt idx="43">
                  <c:v>0.71699999999999997</c:v>
                </c:pt>
                <c:pt idx="44">
                  <c:v>0.73299999999999998</c:v>
                </c:pt>
                <c:pt idx="45">
                  <c:v>0.75</c:v>
                </c:pt>
                <c:pt idx="46">
                  <c:v>0.76700000000000002</c:v>
                </c:pt>
                <c:pt idx="47">
                  <c:v>0.78300000000000003</c:v>
                </c:pt>
                <c:pt idx="48">
                  <c:v>0.8</c:v>
                </c:pt>
                <c:pt idx="49">
                  <c:v>0.81699999999999995</c:v>
                </c:pt>
                <c:pt idx="50">
                  <c:v>0.83299999999999996</c:v>
                </c:pt>
                <c:pt idx="51">
                  <c:v>0.85</c:v>
                </c:pt>
                <c:pt idx="52">
                  <c:v>0.86699999999999999</c:v>
                </c:pt>
                <c:pt idx="53">
                  <c:v>0.88300000000000001</c:v>
                </c:pt>
                <c:pt idx="54">
                  <c:v>0.9</c:v>
                </c:pt>
                <c:pt idx="55">
                  <c:v>0.91700000000000004</c:v>
                </c:pt>
                <c:pt idx="56">
                  <c:v>0.93300000000000005</c:v>
                </c:pt>
                <c:pt idx="57">
                  <c:v>0.95</c:v>
                </c:pt>
                <c:pt idx="58">
                  <c:v>0.96699999999999997</c:v>
                </c:pt>
                <c:pt idx="59">
                  <c:v>0.98299999999999998</c:v>
                </c:pt>
                <c:pt idx="60">
                  <c:v>1</c:v>
                </c:pt>
                <c:pt idx="61">
                  <c:v>1.0169999999999999</c:v>
                </c:pt>
                <c:pt idx="62">
                  <c:v>1.0329999999999999</c:v>
                </c:pt>
                <c:pt idx="63">
                  <c:v>1.05</c:v>
                </c:pt>
                <c:pt idx="64">
                  <c:v>1.0669999999999999</c:v>
                </c:pt>
                <c:pt idx="65">
                  <c:v>1.083</c:v>
                </c:pt>
                <c:pt idx="66">
                  <c:v>1.1000000000000001</c:v>
                </c:pt>
                <c:pt idx="67">
                  <c:v>1.117</c:v>
                </c:pt>
                <c:pt idx="68">
                  <c:v>1.133</c:v>
                </c:pt>
                <c:pt idx="69">
                  <c:v>1.1499999999999999</c:v>
                </c:pt>
                <c:pt idx="70">
                  <c:v>1.167</c:v>
                </c:pt>
                <c:pt idx="71">
                  <c:v>1.1830000000000001</c:v>
                </c:pt>
                <c:pt idx="72">
                  <c:v>1.2</c:v>
                </c:pt>
                <c:pt idx="73">
                  <c:v>1.2170000000000001</c:v>
                </c:pt>
                <c:pt idx="74">
                  <c:v>1.2330000000000001</c:v>
                </c:pt>
                <c:pt idx="75">
                  <c:v>1.25</c:v>
                </c:pt>
                <c:pt idx="76">
                  <c:v>1.2669999999999999</c:v>
                </c:pt>
                <c:pt idx="77">
                  <c:v>1.2829999999999999</c:v>
                </c:pt>
                <c:pt idx="78">
                  <c:v>1.3</c:v>
                </c:pt>
              </c:numCache>
            </c:numRef>
          </c:xVal>
          <c:yVal>
            <c:numRef>
              <c:f>'5 sheets'!$B$2:$B$81</c:f>
              <c:numCache>
                <c:formatCode>0.00</c:formatCode>
                <c:ptCount val="80"/>
                <c:pt idx="0">
                  <c:v>0</c:v>
                </c:pt>
                <c:pt idx="1">
                  <c:v>-0.315</c:v>
                </c:pt>
                <c:pt idx="2">
                  <c:v>-0.36</c:v>
                </c:pt>
                <c:pt idx="3">
                  <c:v>-0.36</c:v>
                </c:pt>
                <c:pt idx="4">
                  <c:v>-0.36</c:v>
                </c:pt>
                <c:pt idx="5">
                  <c:v>-0.495</c:v>
                </c:pt>
                <c:pt idx="6">
                  <c:v>-0.72099999999999997</c:v>
                </c:pt>
                <c:pt idx="7">
                  <c:v>-0.90100000000000002</c:v>
                </c:pt>
                <c:pt idx="8">
                  <c:v>-0.90100000000000002</c:v>
                </c:pt>
                <c:pt idx="9">
                  <c:v>-0.99099999999999999</c:v>
                </c:pt>
                <c:pt idx="10">
                  <c:v>-1.2609999999999999</c:v>
                </c:pt>
                <c:pt idx="11">
                  <c:v>-1.3959999999999999</c:v>
                </c:pt>
                <c:pt idx="12">
                  <c:v>-1.621</c:v>
                </c:pt>
                <c:pt idx="13">
                  <c:v>-1.5760000000000001</c:v>
                </c:pt>
                <c:pt idx="14">
                  <c:v>-1.3959999999999999</c:v>
                </c:pt>
                <c:pt idx="15">
                  <c:v>-1.486</c:v>
                </c:pt>
                <c:pt idx="16">
                  <c:v>-1.5760000000000001</c:v>
                </c:pt>
                <c:pt idx="17">
                  <c:v>-1.7110000000000001</c:v>
                </c:pt>
                <c:pt idx="18">
                  <c:v>-1.7110000000000001</c:v>
                </c:pt>
                <c:pt idx="19">
                  <c:v>-1.6659999999999999</c:v>
                </c:pt>
                <c:pt idx="20">
                  <c:v>-1.621</c:v>
                </c:pt>
                <c:pt idx="21">
                  <c:v>-1.486</c:v>
                </c:pt>
                <c:pt idx="22">
                  <c:v>-1.6659999999999999</c:v>
                </c:pt>
                <c:pt idx="23">
                  <c:v>-1.982</c:v>
                </c:pt>
                <c:pt idx="24">
                  <c:v>-2.2069999999999999</c:v>
                </c:pt>
                <c:pt idx="25">
                  <c:v>-2.4319999999999999</c:v>
                </c:pt>
                <c:pt idx="26">
                  <c:v>-2.117</c:v>
                </c:pt>
                <c:pt idx="27">
                  <c:v>-2.0270000000000001</c:v>
                </c:pt>
                <c:pt idx="28">
                  <c:v>-2.657</c:v>
                </c:pt>
                <c:pt idx="29">
                  <c:v>-2.8820000000000001</c:v>
                </c:pt>
                <c:pt idx="30">
                  <c:v>-1.6659999999999999</c:v>
                </c:pt>
                <c:pt idx="31">
                  <c:v>-1.847</c:v>
                </c:pt>
                <c:pt idx="32">
                  <c:v>-2.702</c:v>
                </c:pt>
                <c:pt idx="33">
                  <c:v>-2.387</c:v>
                </c:pt>
                <c:pt idx="34">
                  <c:v>-2.3420000000000001</c:v>
                </c:pt>
                <c:pt idx="35">
                  <c:v>-2.2970000000000002</c:v>
                </c:pt>
                <c:pt idx="36">
                  <c:v>-1.8919999999999999</c:v>
                </c:pt>
                <c:pt idx="37">
                  <c:v>-1.4410000000000001</c:v>
                </c:pt>
                <c:pt idx="38">
                  <c:v>-2.4319999999999999</c:v>
                </c:pt>
                <c:pt idx="39">
                  <c:v>-3.0630000000000002</c:v>
                </c:pt>
                <c:pt idx="40">
                  <c:v>-2.5670000000000002</c:v>
                </c:pt>
                <c:pt idx="41">
                  <c:v>-1.982</c:v>
                </c:pt>
                <c:pt idx="42">
                  <c:v>-1.7110000000000001</c:v>
                </c:pt>
                <c:pt idx="43">
                  <c:v>-2.1619999999999999</c:v>
                </c:pt>
                <c:pt idx="44">
                  <c:v>-2.7469999999999999</c:v>
                </c:pt>
                <c:pt idx="45">
                  <c:v>-2.4319999999999999</c:v>
                </c:pt>
                <c:pt idx="46">
                  <c:v>-1.7569999999999999</c:v>
                </c:pt>
                <c:pt idx="47">
                  <c:v>-1.802</c:v>
                </c:pt>
                <c:pt idx="48">
                  <c:v>-2.0270000000000001</c:v>
                </c:pt>
                <c:pt idx="49">
                  <c:v>-2.2519999999999998</c:v>
                </c:pt>
                <c:pt idx="50">
                  <c:v>-2.117</c:v>
                </c:pt>
                <c:pt idx="51">
                  <c:v>-1.621</c:v>
                </c:pt>
                <c:pt idx="52">
                  <c:v>-1.6659999999999999</c:v>
                </c:pt>
                <c:pt idx="53">
                  <c:v>-2.2069999999999999</c:v>
                </c:pt>
                <c:pt idx="54">
                  <c:v>-2.2970000000000002</c:v>
                </c:pt>
                <c:pt idx="55">
                  <c:v>-1.982</c:v>
                </c:pt>
                <c:pt idx="56">
                  <c:v>-1.621</c:v>
                </c:pt>
                <c:pt idx="57">
                  <c:v>-1.621</c:v>
                </c:pt>
                <c:pt idx="58">
                  <c:v>-1.7110000000000001</c:v>
                </c:pt>
                <c:pt idx="59">
                  <c:v>-1.8919999999999999</c:v>
                </c:pt>
                <c:pt idx="60">
                  <c:v>-2.0270000000000001</c:v>
                </c:pt>
                <c:pt idx="61">
                  <c:v>-1.9370000000000001</c:v>
                </c:pt>
                <c:pt idx="62">
                  <c:v>-2.2069999999999999</c:v>
                </c:pt>
                <c:pt idx="63">
                  <c:v>-1.9370000000000001</c:v>
                </c:pt>
                <c:pt idx="64">
                  <c:v>-1.6659999999999999</c:v>
                </c:pt>
                <c:pt idx="65">
                  <c:v>-2.0270000000000001</c:v>
                </c:pt>
                <c:pt idx="66">
                  <c:v>-1.7569999999999999</c:v>
                </c:pt>
                <c:pt idx="67">
                  <c:v>-1.982</c:v>
                </c:pt>
                <c:pt idx="68">
                  <c:v>-2.5670000000000002</c:v>
                </c:pt>
                <c:pt idx="69">
                  <c:v>-1.847</c:v>
                </c:pt>
                <c:pt idx="70">
                  <c:v>-1.6659999999999999</c:v>
                </c:pt>
                <c:pt idx="71">
                  <c:v>-2.8370000000000002</c:v>
                </c:pt>
                <c:pt idx="72">
                  <c:v>-2.657</c:v>
                </c:pt>
                <c:pt idx="73">
                  <c:v>-1.802</c:v>
                </c:pt>
                <c:pt idx="74">
                  <c:v>-2.1619999999999999</c:v>
                </c:pt>
                <c:pt idx="75">
                  <c:v>-1.5309999999999999</c:v>
                </c:pt>
                <c:pt idx="76">
                  <c:v>-1.171</c:v>
                </c:pt>
                <c:pt idx="77">
                  <c:v>-1.847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21-4AD0-863D-4CD4395606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567967"/>
        <c:axId val="1798163823"/>
      </c:scatterChart>
      <c:valAx>
        <c:axId val="148567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8163823"/>
        <c:crosses val="autoZero"/>
        <c:crossBetween val="midCat"/>
      </c:valAx>
      <c:valAx>
        <c:axId val="1798163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67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Plot</a:t>
            </a:r>
            <a:r>
              <a:rPr lang="en-US" baseline="0"/>
              <a:t> of Y-velocity and Equation 9.12 against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'10 sheets'!$B$1</c:f>
              <c:strCache>
                <c:ptCount val="1"/>
                <c:pt idx="0">
                  <c:v>Y-velocity (m/s)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'10 sheets'!$A$2:$A$55</c:f>
              <c:numCache>
                <c:formatCode>0.000</c:formatCode>
                <c:ptCount val="54"/>
                <c:pt idx="0">
                  <c:v>0</c:v>
                </c:pt>
                <c:pt idx="1">
                  <c:v>1.7000000000000001E-2</c:v>
                </c:pt>
                <c:pt idx="2">
                  <c:v>3.3000000000000002E-2</c:v>
                </c:pt>
                <c:pt idx="3">
                  <c:v>0.05</c:v>
                </c:pt>
                <c:pt idx="4">
                  <c:v>6.7000000000000004E-2</c:v>
                </c:pt>
                <c:pt idx="5">
                  <c:v>8.3000000000000004E-2</c:v>
                </c:pt>
                <c:pt idx="6">
                  <c:v>0.10199999999999999</c:v>
                </c:pt>
                <c:pt idx="7">
                  <c:v>0.11799999999999999</c:v>
                </c:pt>
                <c:pt idx="8">
                  <c:v>0.13500000000000001</c:v>
                </c:pt>
                <c:pt idx="9">
                  <c:v>0.152</c:v>
                </c:pt>
                <c:pt idx="10">
                  <c:v>0.16800000000000001</c:v>
                </c:pt>
                <c:pt idx="11">
                  <c:v>0.185</c:v>
                </c:pt>
                <c:pt idx="12">
                  <c:v>0.20200000000000001</c:v>
                </c:pt>
                <c:pt idx="13">
                  <c:v>0.218</c:v>
                </c:pt>
                <c:pt idx="14">
                  <c:v>0.23499999999999999</c:v>
                </c:pt>
                <c:pt idx="15">
                  <c:v>0.252</c:v>
                </c:pt>
                <c:pt idx="16">
                  <c:v>0.26800000000000002</c:v>
                </c:pt>
                <c:pt idx="17">
                  <c:v>0.28499999999999998</c:v>
                </c:pt>
                <c:pt idx="18">
                  <c:v>0.30199999999999999</c:v>
                </c:pt>
                <c:pt idx="19">
                  <c:v>0.318</c:v>
                </c:pt>
                <c:pt idx="20">
                  <c:v>0.33500000000000002</c:v>
                </c:pt>
                <c:pt idx="21">
                  <c:v>0.35199999999999998</c:v>
                </c:pt>
                <c:pt idx="22">
                  <c:v>0.36799999999999999</c:v>
                </c:pt>
                <c:pt idx="23">
                  <c:v>0.38500000000000001</c:v>
                </c:pt>
                <c:pt idx="24">
                  <c:v>0.40200000000000002</c:v>
                </c:pt>
                <c:pt idx="25">
                  <c:v>0.41799999999999998</c:v>
                </c:pt>
                <c:pt idx="26">
                  <c:v>0.435</c:v>
                </c:pt>
                <c:pt idx="27">
                  <c:v>0.45200000000000001</c:v>
                </c:pt>
                <c:pt idx="28">
                  <c:v>0.46800000000000003</c:v>
                </c:pt>
                <c:pt idx="29">
                  <c:v>0.48499999999999999</c:v>
                </c:pt>
                <c:pt idx="30">
                  <c:v>0.502</c:v>
                </c:pt>
                <c:pt idx="31">
                  <c:v>0.51800000000000002</c:v>
                </c:pt>
                <c:pt idx="32">
                  <c:v>0.53500000000000003</c:v>
                </c:pt>
                <c:pt idx="33">
                  <c:v>0.55200000000000005</c:v>
                </c:pt>
                <c:pt idx="34">
                  <c:v>0.56799999999999995</c:v>
                </c:pt>
                <c:pt idx="35">
                  <c:v>0.58499999999999996</c:v>
                </c:pt>
                <c:pt idx="36">
                  <c:v>0.60199999999999998</c:v>
                </c:pt>
                <c:pt idx="37">
                  <c:v>0.61799999999999999</c:v>
                </c:pt>
                <c:pt idx="38">
                  <c:v>0.63500000000000001</c:v>
                </c:pt>
                <c:pt idx="39">
                  <c:v>0.65200000000000002</c:v>
                </c:pt>
                <c:pt idx="40">
                  <c:v>0.66800000000000004</c:v>
                </c:pt>
                <c:pt idx="41">
                  <c:v>0.68500000000000005</c:v>
                </c:pt>
                <c:pt idx="42">
                  <c:v>0.70199999999999996</c:v>
                </c:pt>
                <c:pt idx="43">
                  <c:v>0.71799999999999997</c:v>
                </c:pt>
                <c:pt idx="44">
                  <c:v>0.73499999999999999</c:v>
                </c:pt>
                <c:pt idx="45">
                  <c:v>0.752</c:v>
                </c:pt>
                <c:pt idx="46">
                  <c:v>0.76800000000000002</c:v>
                </c:pt>
                <c:pt idx="47">
                  <c:v>0.78500000000000003</c:v>
                </c:pt>
                <c:pt idx="48">
                  <c:v>0.80200000000000005</c:v>
                </c:pt>
                <c:pt idx="49">
                  <c:v>0.81799999999999995</c:v>
                </c:pt>
                <c:pt idx="50">
                  <c:v>0.83499999999999996</c:v>
                </c:pt>
                <c:pt idx="51">
                  <c:v>0.85199999999999998</c:v>
                </c:pt>
                <c:pt idx="52">
                  <c:v>0.86799999999999999</c:v>
                </c:pt>
              </c:numCache>
            </c:numRef>
          </c:xVal>
          <c:yVal>
            <c:numRef>
              <c:f>'10 sheets'!$B$2:$B$55</c:f>
              <c:numCache>
                <c:formatCode>0.000</c:formatCode>
                <c:ptCount val="54"/>
                <c:pt idx="0">
                  <c:v>0</c:v>
                </c:pt>
                <c:pt idx="1">
                  <c:v>0.53900000000000003</c:v>
                </c:pt>
                <c:pt idx="2">
                  <c:v>0.58799999999999997</c:v>
                </c:pt>
                <c:pt idx="3">
                  <c:v>1.175</c:v>
                </c:pt>
                <c:pt idx="4">
                  <c:v>1.5669999999999999</c:v>
                </c:pt>
                <c:pt idx="5">
                  <c:v>1.2130000000000001</c:v>
                </c:pt>
                <c:pt idx="6">
                  <c:v>1.2130000000000001</c:v>
                </c:pt>
                <c:pt idx="7">
                  <c:v>1.665</c:v>
                </c:pt>
                <c:pt idx="8">
                  <c:v>1.714</c:v>
                </c:pt>
                <c:pt idx="9">
                  <c:v>1.861</c:v>
                </c:pt>
                <c:pt idx="10">
                  <c:v>1.7629999999999999</c:v>
                </c:pt>
                <c:pt idx="11">
                  <c:v>1.7629999999999999</c:v>
                </c:pt>
                <c:pt idx="12">
                  <c:v>1.91</c:v>
                </c:pt>
                <c:pt idx="13">
                  <c:v>2.008</c:v>
                </c:pt>
                <c:pt idx="14">
                  <c:v>2.4</c:v>
                </c:pt>
                <c:pt idx="15">
                  <c:v>2.694</c:v>
                </c:pt>
                <c:pt idx="16">
                  <c:v>2.4980000000000002</c:v>
                </c:pt>
                <c:pt idx="17">
                  <c:v>2.4489999999999998</c:v>
                </c:pt>
                <c:pt idx="18">
                  <c:v>2.7429999999999999</c:v>
                </c:pt>
                <c:pt idx="19">
                  <c:v>3.036</c:v>
                </c:pt>
                <c:pt idx="20">
                  <c:v>2.5960000000000001</c:v>
                </c:pt>
                <c:pt idx="21">
                  <c:v>2.1059999999999999</c:v>
                </c:pt>
                <c:pt idx="22">
                  <c:v>2.2530000000000001</c:v>
                </c:pt>
                <c:pt idx="23">
                  <c:v>2.7919999999999998</c:v>
                </c:pt>
                <c:pt idx="24">
                  <c:v>2.9380000000000002</c:v>
                </c:pt>
                <c:pt idx="25">
                  <c:v>2.7429999999999999</c:v>
                </c:pt>
                <c:pt idx="26">
                  <c:v>2.8889999999999998</c:v>
                </c:pt>
                <c:pt idx="27">
                  <c:v>2.9870000000000001</c:v>
                </c:pt>
                <c:pt idx="28">
                  <c:v>3.085</c:v>
                </c:pt>
                <c:pt idx="29">
                  <c:v>3.036</c:v>
                </c:pt>
                <c:pt idx="30">
                  <c:v>2.9870000000000001</c:v>
                </c:pt>
                <c:pt idx="31">
                  <c:v>2.645</c:v>
                </c:pt>
                <c:pt idx="32">
                  <c:v>2.84</c:v>
                </c:pt>
                <c:pt idx="33">
                  <c:v>3.085</c:v>
                </c:pt>
                <c:pt idx="34">
                  <c:v>3.4279999999999999</c:v>
                </c:pt>
                <c:pt idx="35">
                  <c:v>3.4279999999999999</c:v>
                </c:pt>
                <c:pt idx="36">
                  <c:v>3.2320000000000002</c:v>
                </c:pt>
                <c:pt idx="37">
                  <c:v>2.9870000000000001</c:v>
                </c:pt>
                <c:pt idx="38">
                  <c:v>2.645</c:v>
                </c:pt>
                <c:pt idx="39">
                  <c:v>3.1339999999999999</c:v>
                </c:pt>
                <c:pt idx="40">
                  <c:v>2.9870000000000001</c:v>
                </c:pt>
                <c:pt idx="41">
                  <c:v>2.7429999999999999</c:v>
                </c:pt>
                <c:pt idx="42">
                  <c:v>2.9380000000000002</c:v>
                </c:pt>
                <c:pt idx="43">
                  <c:v>3.6240000000000001</c:v>
                </c:pt>
                <c:pt idx="44">
                  <c:v>3.2810000000000001</c:v>
                </c:pt>
                <c:pt idx="45">
                  <c:v>2.5960000000000001</c:v>
                </c:pt>
                <c:pt idx="46">
                  <c:v>3.1829999999999998</c:v>
                </c:pt>
                <c:pt idx="47">
                  <c:v>3.2810000000000001</c:v>
                </c:pt>
                <c:pt idx="48">
                  <c:v>3.1829999999999998</c:v>
                </c:pt>
                <c:pt idx="49">
                  <c:v>3.036</c:v>
                </c:pt>
                <c:pt idx="50">
                  <c:v>3.036</c:v>
                </c:pt>
                <c:pt idx="51">
                  <c:v>2.84</c:v>
                </c:pt>
                <c:pt idx="5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60-484F-91A5-272D7B605B1A}"/>
            </c:ext>
          </c:extLst>
        </c:ser>
        <c:ser>
          <c:idx val="1"/>
          <c:order val="1"/>
          <c:tx>
            <c:strRef>
              <c:f>'10 sheets'!$C$1</c:f>
              <c:strCache>
                <c:ptCount val="1"/>
                <c:pt idx="0">
                  <c:v>Equation 9.12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'10 sheets'!$A$2:$A$55</c:f>
              <c:numCache>
                <c:formatCode>0.000</c:formatCode>
                <c:ptCount val="54"/>
                <c:pt idx="0">
                  <c:v>0</c:v>
                </c:pt>
                <c:pt idx="1">
                  <c:v>1.7000000000000001E-2</c:v>
                </c:pt>
                <c:pt idx="2">
                  <c:v>3.3000000000000002E-2</c:v>
                </c:pt>
                <c:pt idx="3">
                  <c:v>0.05</c:v>
                </c:pt>
                <c:pt idx="4">
                  <c:v>6.7000000000000004E-2</c:v>
                </c:pt>
                <c:pt idx="5">
                  <c:v>8.3000000000000004E-2</c:v>
                </c:pt>
                <c:pt idx="6">
                  <c:v>0.10199999999999999</c:v>
                </c:pt>
                <c:pt idx="7">
                  <c:v>0.11799999999999999</c:v>
                </c:pt>
                <c:pt idx="8">
                  <c:v>0.13500000000000001</c:v>
                </c:pt>
                <c:pt idx="9">
                  <c:v>0.152</c:v>
                </c:pt>
                <c:pt idx="10">
                  <c:v>0.16800000000000001</c:v>
                </c:pt>
                <c:pt idx="11">
                  <c:v>0.185</c:v>
                </c:pt>
                <c:pt idx="12">
                  <c:v>0.20200000000000001</c:v>
                </c:pt>
                <c:pt idx="13">
                  <c:v>0.218</c:v>
                </c:pt>
                <c:pt idx="14">
                  <c:v>0.23499999999999999</c:v>
                </c:pt>
                <c:pt idx="15">
                  <c:v>0.252</c:v>
                </c:pt>
                <c:pt idx="16">
                  <c:v>0.26800000000000002</c:v>
                </c:pt>
                <c:pt idx="17">
                  <c:v>0.28499999999999998</c:v>
                </c:pt>
                <c:pt idx="18">
                  <c:v>0.30199999999999999</c:v>
                </c:pt>
                <c:pt idx="19">
                  <c:v>0.318</c:v>
                </c:pt>
                <c:pt idx="20">
                  <c:v>0.33500000000000002</c:v>
                </c:pt>
                <c:pt idx="21">
                  <c:v>0.35199999999999998</c:v>
                </c:pt>
                <c:pt idx="22">
                  <c:v>0.36799999999999999</c:v>
                </c:pt>
                <c:pt idx="23">
                  <c:v>0.38500000000000001</c:v>
                </c:pt>
                <c:pt idx="24">
                  <c:v>0.40200000000000002</c:v>
                </c:pt>
                <c:pt idx="25">
                  <c:v>0.41799999999999998</c:v>
                </c:pt>
                <c:pt idx="26">
                  <c:v>0.435</c:v>
                </c:pt>
                <c:pt idx="27">
                  <c:v>0.45200000000000001</c:v>
                </c:pt>
                <c:pt idx="28">
                  <c:v>0.46800000000000003</c:v>
                </c:pt>
                <c:pt idx="29">
                  <c:v>0.48499999999999999</c:v>
                </c:pt>
                <c:pt idx="30">
                  <c:v>0.502</c:v>
                </c:pt>
                <c:pt idx="31">
                  <c:v>0.51800000000000002</c:v>
                </c:pt>
                <c:pt idx="32">
                  <c:v>0.53500000000000003</c:v>
                </c:pt>
                <c:pt idx="33">
                  <c:v>0.55200000000000005</c:v>
                </c:pt>
                <c:pt idx="34">
                  <c:v>0.56799999999999995</c:v>
                </c:pt>
                <c:pt idx="35">
                  <c:v>0.58499999999999996</c:v>
                </c:pt>
                <c:pt idx="36">
                  <c:v>0.60199999999999998</c:v>
                </c:pt>
                <c:pt idx="37">
                  <c:v>0.61799999999999999</c:v>
                </c:pt>
                <c:pt idx="38">
                  <c:v>0.63500000000000001</c:v>
                </c:pt>
                <c:pt idx="39">
                  <c:v>0.65200000000000002</c:v>
                </c:pt>
                <c:pt idx="40">
                  <c:v>0.66800000000000004</c:v>
                </c:pt>
                <c:pt idx="41">
                  <c:v>0.68500000000000005</c:v>
                </c:pt>
                <c:pt idx="42">
                  <c:v>0.70199999999999996</c:v>
                </c:pt>
                <c:pt idx="43">
                  <c:v>0.71799999999999997</c:v>
                </c:pt>
                <c:pt idx="44">
                  <c:v>0.73499999999999999</c:v>
                </c:pt>
                <c:pt idx="45">
                  <c:v>0.752</c:v>
                </c:pt>
                <c:pt idx="46">
                  <c:v>0.76800000000000002</c:v>
                </c:pt>
                <c:pt idx="47">
                  <c:v>0.78500000000000003</c:v>
                </c:pt>
                <c:pt idx="48">
                  <c:v>0.80200000000000005</c:v>
                </c:pt>
                <c:pt idx="49">
                  <c:v>0.81799999999999995</c:v>
                </c:pt>
                <c:pt idx="50">
                  <c:v>0.83499999999999996</c:v>
                </c:pt>
                <c:pt idx="51">
                  <c:v>0.85199999999999998</c:v>
                </c:pt>
                <c:pt idx="52">
                  <c:v>0.86799999999999999</c:v>
                </c:pt>
              </c:numCache>
            </c:numRef>
          </c:xVal>
          <c:yVal>
            <c:numRef>
              <c:f>'10 sheets'!$C$2:$C$55</c:f>
              <c:numCache>
                <c:formatCode>0.000</c:formatCode>
                <c:ptCount val="54"/>
                <c:pt idx="0">
                  <c:v>0</c:v>
                </c:pt>
                <c:pt idx="1">
                  <c:v>0.1666103339725877</c:v>
                </c:pt>
                <c:pt idx="2">
                  <c:v>0.3225657971167743</c:v>
                </c:pt>
                <c:pt idx="3">
                  <c:v>0.48647305504993515</c:v>
                </c:pt>
                <c:pt idx="4">
                  <c:v>0.64765608193505197</c:v>
                </c:pt>
                <c:pt idx="5">
                  <c:v>0.79612260686693093</c:v>
                </c:pt>
                <c:pt idx="6">
                  <c:v>0.96746467158651583</c:v>
                </c:pt>
                <c:pt idx="7">
                  <c:v>1.1069273733443883</c:v>
                </c:pt>
                <c:pt idx="8">
                  <c:v>1.2497085316480552</c:v>
                </c:pt>
                <c:pt idx="9">
                  <c:v>1.3864718476382742</c:v>
                </c:pt>
                <c:pt idx="10">
                  <c:v>1.5093670168652784</c:v>
                </c:pt>
                <c:pt idx="11">
                  <c:v>1.6335059359476833</c:v>
                </c:pt>
                <c:pt idx="12">
                  <c:v>1.7508498750521748</c:v>
                </c:pt>
                <c:pt idx="13">
                  <c:v>1.8550149060158729</c:v>
                </c:pt>
                <c:pt idx="14">
                  <c:v>1.9590260418943271</c:v>
                </c:pt>
                <c:pt idx="15">
                  <c:v>2.0562464332899411</c:v>
                </c:pt>
                <c:pt idx="16">
                  <c:v>2.1416685497194421</c:v>
                </c:pt>
                <c:pt idx="17">
                  <c:v>2.2261514735678518</c:v>
                </c:pt>
                <c:pt idx="18">
                  <c:v>2.304394289186301</c:v>
                </c:pt>
                <c:pt idx="19">
                  <c:v>2.3725717498362346</c:v>
                </c:pt>
                <c:pt idx="20">
                  <c:v>2.4394814251406727</c:v>
                </c:pt>
                <c:pt idx="21">
                  <c:v>2.5009944955433396</c:v>
                </c:pt>
                <c:pt idx="22">
                  <c:v>2.5542417178782224</c:v>
                </c:pt>
                <c:pt idx="23">
                  <c:v>2.6061825354617207</c:v>
                </c:pt>
                <c:pt idx="24">
                  <c:v>2.6536600885074688</c:v>
                </c:pt>
                <c:pt idx="25">
                  <c:v>2.6945476106971071</c:v>
                </c:pt>
                <c:pt idx="26">
                  <c:v>2.7342454121084563</c:v>
                </c:pt>
                <c:pt idx="27">
                  <c:v>2.7703719077005364</c:v>
                </c:pt>
                <c:pt idx="28">
                  <c:v>2.8013621615921065</c:v>
                </c:pt>
                <c:pt idx="29">
                  <c:v>2.8313434697086359</c:v>
                </c:pt>
                <c:pt idx="30">
                  <c:v>2.8585362623664725</c:v>
                </c:pt>
                <c:pt idx="31">
                  <c:v>2.881793931957942</c:v>
                </c:pt>
                <c:pt idx="32">
                  <c:v>2.9042340046439259</c:v>
                </c:pt>
                <c:pt idx="33">
                  <c:v>2.9245357895407471</c:v>
                </c:pt>
                <c:pt idx="34">
                  <c:v>2.9418611801077299</c:v>
                </c:pt>
                <c:pt idx="35">
                  <c:v>2.9585439918406315</c:v>
                </c:pt>
                <c:pt idx="36">
                  <c:v>2.9736088323161791</c:v>
                </c:pt>
                <c:pt idx="37">
                  <c:v>2.9864438593454707</c:v>
                </c:pt>
                <c:pt idx="38">
                  <c:v>2.9987844482398947</c:v>
                </c:pt>
                <c:pt idx="39">
                  <c:v>3.0099127142404543</c:v>
                </c:pt>
                <c:pt idx="40">
                  <c:v>3.0193822694591304</c:v>
                </c:pt>
                <c:pt idx="41">
                  <c:v>3.0284770152533578</c:v>
                </c:pt>
                <c:pt idx="42">
                  <c:v>3.0366698974704063</c:v>
                </c:pt>
                <c:pt idx="43">
                  <c:v>3.0436353287096556</c:v>
                </c:pt>
                <c:pt idx="44">
                  <c:v>3.0503196442673457</c:v>
                </c:pt>
                <c:pt idx="45">
                  <c:v>3.0563365800828426</c:v>
                </c:pt>
                <c:pt idx="46">
                  <c:v>3.061448681129356</c:v>
                </c:pt>
                <c:pt idx="47">
                  <c:v>3.0663515444703298</c:v>
                </c:pt>
                <c:pt idx="48">
                  <c:v>3.0707624492511902</c:v>
                </c:pt>
                <c:pt idx="49">
                  <c:v>3.0745082185230563</c:v>
                </c:pt>
                <c:pt idx="50">
                  <c:v>3.0780991061020715</c:v>
                </c:pt>
                <c:pt idx="51">
                  <c:v>3.0813283692776658</c:v>
                </c:pt>
                <c:pt idx="52">
                  <c:v>3.0840697063811118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60-484F-91A5-272D7B605B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573615"/>
        <c:axId val="27490479"/>
      </c:scatterChart>
      <c:valAx>
        <c:axId val="150573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90479"/>
        <c:crosses val="autoZero"/>
        <c:crossBetween val="midCat"/>
      </c:valAx>
      <c:valAx>
        <c:axId val="27490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Velocity</a:t>
                </a:r>
                <a:r>
                  <a:rPr lang="en-US" baseline="0"/>
                  <a:t> (m/s)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736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'20 sheets'!$B$1</c:f>
              <c:strCache>
                <c:ptCount val="1"/>
                <c:pt idx="0">
                  <c:v>Y-velocity (m/s)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 sheets'!$A$2:$A$53</c:f>
              <c:numCache>
                <c:formatCode>0.000</c:formatCode>
                <c:ptCount val="52"/>
                <c:pt idx="0">
                  <c:v>0</c:v>
                </c:pt>
                <c:pt idx="1">
                  <c:v>1.6666670000000001E-2</c:v>
                </c:pt>
                <c:pt idx="2">
                  <c:v>3.3333330000000001E-2</c:v>
                </c:pt>
                <c:pt idx="3">
                  <c:v>0.05</c:v>
                </c:pt>
                <c:pt idx="4">
                  <c:v>6.6666669999999997E-2</c:v>
                </c:pt>
                <c:pt idx="5">
                  <c:v>8.3333329999999997E-2</c:v>
                </c:pt>
                <c:pt idx="6">
                  <c:v>0.1</c:v>
                </c:pt>
                <c:pt idx="7">
                  <c:v>0.1166667</c:v>
                </c:pt>
                <c:pt idx="8">
                  <c:v>0.13333329999999999</c:v>
                </c:pt>
                <c:pt idx="9">
                  <c:v>0.15</c:v>
                </c:pt>
                <c:pt idx="10">
                  <c:v>0.1666667</c:v>
                </c:pt>
                <c:pt idx="11">
                  <c:v>0.1833333</c:v>
                </c:pt>
                <c:pt idx="12">
                  <c:v>0.2</c:v>
                </c:pt>
                <c:pt idx="13">
                  <c:v>0.21666669999999999</c:v>
                </c:pt>
                <c:pt idx="14">
                  <c:v>0.23333329999999999</c:v>
                </c:pt>
                <c:pt idx="15">
                  <c:v>0.25</c:v>
                </c:pt>
                <c:pt idx="16">
                  <c:v>0.26666669999999998</c:v>
                </c:pt>
                <c:pt idx="17">
                  <c:v>0.28333330000000001</c:v>
                </c:pt>
                <c:pt idx="18">
                  <c:v>0.3</c:v>
                </c:pt>
                <c:pt idx="19">
                  <c:v>0.31666670000000002</c:v>
                </c:pt>
                <c:pt idx="20">
                  <c:v>0.3333333</c:v>
                </c:pt>
                <c:pt idx="21">
                  <c:v>0.35</c:v>
                </c:pt>
                <c:pt idx="22">
                  <c:v>0.36666670000000001</c:v>
                </c:pt>
                <c:pt idx="23">
                  <c:v>0.38333329999999999</c:v>
                </c:pt>
                <c:pt idx="24">
                  <c:v>0.4</c:v>
                </c:pt>
                <c:pt idx="25">
                  <c:v>0.4166667</c:v>
                </c:pt>
                <c:pt idx="26">
                  <c:v>0.43333329999999998</c:v>
                </c:pt>
                <c:pt idx="27">
                  <c:v>0.45</c:v>
                </c:pt>
                <c:pt idx="28">
                  <c:v>0.46666669999999999</c:v>
                </c:pt>
                <c:pt idx="29">
                  <c:v>0.48333330000000002</c:v>
                </c:pt>
                <c:pt idx="30">
                  <c:v>0.5</c:v>
                </c:pt>
                <c:pt idx="31">
                  <c:v>0.51666670000000003</c:v>
                </c:pt>
                <c:pt idx="32">
                  <c:v>0.53333330000000001</c:v>
                </c:pt>
                <c:pt idx="33">
                  <c:v>0.55000000000000004</c:v>
                </c:pt>
                <c:pt idx="34">
                  <c:v>0.56833330000000004</c:v>
                </c:pt>
                <c:pt idx="35">
                  <c:v>0.58499999999999996</c:v>
                </c:pt>
                <c:pt idx="36">
                  <c:v>0.6016667</c:v>
                </c:pt>
                <c:pt idx="37">
                  <c:v>0.61833329999999997</c:v>
                </c:pt>
                <c:pt idx="38">
                  <c:v>0.63500000000000001</c:v>
                </c:pt>
                <c:pt idx="39">
                  <c:v>0.65166670000000004</c:v>
                </c:pt>
                <c:pt idx="40">
                  <c:v>0.66833330000000002</c:v>
                </c:pt>
                <c:pt idx="41">
                  <c:v>0.68500000000000005</c:v>
                </c:pt>
                <c:pt idx="42">
                  <c:v>0.70166669999999998</c:v>
                </c:pt>
                <c:pt idx="43">
                  <c:v>0.71833329999999995</c:v>
                </c:pt>
                <c:pt idx="44">
                  <c:v>0.73499999999999999</c:v>
                </c:pt>
                <c:pt idx="45">
                  <c:v>0.75166670000000002</c:v>
                </c:pt>
                <c:pt idx="46">
                  <c:v>0.7683333</c:v>
                </c:pt>
                <c:pt idx="47">
                  <c:v>0.78500000000000003</c:v>
                </c:pt>
                <c:pt idx="48">
                  <c:v>0.80166669999999995</c:v>
                </c:pt>
                <c:pt idx="49">
                  <c:v>0.81833330000000004</c:v>
                </c:pt>
                <c:pt idx="50">
                  <c:v>0.83499999999999996</c:v>
                </c:pt>
              </c:numCache>
            </c:numRef>
          </c:xVal>
          <c:yVal>
            <c:numRef>
              <c:f>'20 sheets'!$B$2:$B$53</c:f>
              <c:numCache>
                <c:formatCode>0.000</c:formatCode>
                <c:ptCount val="52"/>
                <c:pt idx="0">
                  <c:v>0</c:v>
                </c:pt>
                <c:pt idx="1">
                  <c:v>0.50786730000000002</c:v>
                </c:pt>
                <c:pt idx="2">
                  <c:v>0.40629379999999998</c:v>
                </c:pt>
                <c:pt idx="3">
                  <c:v>0.55865399999999998</c:v>
                </c:pt>
                <c:pt idx="4">
                  <c:v>0.66022749999999997</c:v>
                </c:pt>
                <c:pt idx="5">
                  <c:v>0.66022749999999997</c:v>
                </c:pt>
                <c:pt idx="6">
                  <c:v>0.91416109999999995</c:v>
                </c:pt>
                <c:pt idx="7">
                  <c:v>1.3712420000000001</c:v>
                </c:pt>
                <c:pt idx="8">
                  <c:v>1.4220280000000001</c:v>
                </c:pt>
                <c:pt idx="9">
                  <c:v>1.472815</c:v>
                </c:pt>
                <c:pt idx="10">
                  <c:v>1.625175</c:v>
                </c:pt>
                <c:pt idx="11">
                  <c:v>1.9806820000000001</c:v>
                </c:pt>
                <c:pt idx="12">
                  <c:v>2.031469</c:v>
                </c:pt>
                <c:pt idx="13">
                  <c:v>2.2854030000000001</c:v>
                </c:pt>
                <c:pt idx="14">
                  <c:v>2.742483</c:v>
                </c:pt>
                <c:pt idx="15">
                  <c:v>2.6409099999999999</c:v>
                </c:pt>
                <c:pt idx="16">
                  <c:v>2.6409099999999999</c:v>
                </c:pt>
                <c:pt idx="17">
                  <c:v>2.8440569999999998</c:v>
                </c:pt>
                <c:pt idx="18">
                  <c:v>2.5901230000000002</c:v>
                </c:pt>
                <c:pt idx="19">
                  <c:v>2.691697</c:v>
                </c:pt>
                <c:pt idx="20">
                  <c:v>3.5550709999999999</c:v>
                </c:pt>
                <c:pt idx="21">
                  <c:v>3.7582179999999998</c:v>
                </c:pt>
                <c:pt idx="22">
                  <c:v>2.4377629999999999</c:v>
                </c:pt>
                <c:pt idx="23">
                  <c:v>2.1330429999999998</c:v>
                </c:pt>
                <c:pt idx="24">
                  <c:v>3.5550709999999999</c:v>
                </c:pt>
                <c:pt idx="25">
                  <c:v>3.809005</c:v>
                </c:pt>
                <c:pt idx="26">
                  <c:v>3.3011370000000002</c:v>
                </c:pt>
                <c:pt idx="27">
                  <c:v>3.4534980000000002</c:v>
                </c:pt>
                <c:pt idx="28">
                  <c:v>3.9613649999999998</c:v>
                </c:pt>
                <c:pt idx="29">
                  <c:v>3.3519239999999999</c:v>
                </c:pt>
                <c:pt idx="30">
                  <c:v>3.2503510000000002</c:v>
                </c:pt>
                <c:pt idx="31">
                  <c:v>3.7582179999999998</c:v>
                </c:pt>
                <c:pt idx="32">
                  <c:v>3.3519239999999999</c:v>
                </c:pt>
                <c:pt idx="33">
                  <c:v>3.4825189999999999</c:v>
                </c:pt>
                <c:pt idx="34">
                  <c:v>3.6276229999999998</c:v>
                </c:pt>
                <c:pt idx="35">
                  <c:v>3.859791</c:v>
                </c:pt>
                <c:pt idx="36">
                  <c:v>4.5200189999999996</c:v>
                </c:pt>
                <c:pt idx="37">
                  <c:v>4.2152979999999998</c:v>
                </c:pt>
                <c:pt idx="38">
                  <c:v>3.656644</c:v>
                </c:pt>
                <c:pt idx="39">
                  <c:v>3.809005</c:v>
                </c:pt>
                <c:pt idx="40">
                  <c:v>4.0629379999999999</c:v>
                </c:pt>
                <c:pt idx="41">
                  <c:v>3.9105780000000001</c:v>
                </c:pt>
                <c:pt idx="42">
                  <c:v>4.0629379999999999</c:v>
                </c:pt>
                <c:pt idx="43">
                  <c:v>3.5550709999999999</c:v>
                </c:pt>
                <c:pt idx="44">
                  <c:v>3.5550709999999999</c:v>
                </c:pt>
                <c:pt idx="45">
                  <c:v>3.9105780000000001</c:v>
                </c:pt>
                <c:pt idx="46">
                  <c:v>4.0121520000000004</c:v>
                </c:pt>
                <c:pt idx="47">
                  <c:v>3.859791</c:v>
                </c:pt>
                <c:pt idx="48">
                  <c:v>3.7074310000000001</c:v>
                </c:pt>
                <c:pt idx="49">
                  <c:v>4.2660850000000003</c:v>
                </c:pt>
                <c:pt idx="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2B-435C-97A5-F435AF588926}"/>
            </c:ext>
          </c:extLst>
        </c:ser>
        <c:ser>
          <c:idx val="1"/>
          <c:order val="1"/>
          <c:tx>
            <c:strRef>
              <c:f>'20 sheets'!$C$1</c:f>
              <c:strCache>
                <c:ptCount val="1"/>
                <c:pt idx="0">
                  <c:v>Equation 9.12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 sheets'!$A$2:$A$53</c:f>
              <c:numCache>
                <c:formatCode>0.000</c:formatCode>
                <c:ptCount val="52"/>
                <c:pt idx="0">
                  <c:v>0</c:v>
                </c:pt>
                <c:pt idx="1">
                  <c:v>1.6666670000000001E-2</c:v>
                </c:pt>
                <c:pt idx="2">
                  <c:v>3.3333330000000001E-2</c:v>
                </c:pt>
                <c:pt idx="3">
                  <c:v>0.05</c:v>
                </c:pt>
                <c:pt idx="4">
                  <c:v>6.6666669999999997E-2</c:v>
                </c:pt>
                <c:pt idx="5">
                  <c:v>8.3333329999999997E-2</c:v>
                </c:pt>
                <c:pt idx="6">
                  <c:v>0.1</c:v>
                </c:pt>
                <c:pt idx="7">
                  <c:v>0.1166667</c:v>
                </c:pt>
                <c:pt idx="8">
                  <c:v>0.13333329999999999</c:v>
                </c:pt>
                <c:pt idx="9">
                  <c:v>0.15</c:v>
                </c:pt>
                <c:pt idx="10">
                  <c:v>0.1666667</c:v>
                </c:pt>
                <c:pt idx="11">
                  <c:v>0.1833333</c:v>
                </c:pt>
                <c:pt idx="12">
                  <c:v>0.2</c:v>
                </c:pt>
                <c:pt idx="13">
                  <c:v>0.21666669999999999</c:v>
                </c:pt>
                <c:pt idx="14">
                  <c:v>0.23333329999999999</c:v>
                </c:pt>
                <c:pt idx="15">
                  <c:v>0.25</c:v>
                </c:pt>
                <c:pt idx="16">
                  <c:v>0.26666669999999998</c:v>
                </c:pt>
                <c:pt idx="17">
                  <c:v>0.28333330000000001</c:v>
                </c:pt>
                <c:pt idx="18">
                  <c:v>0.3</c:v>
                </c:pt>
                <c:pt idx="19">
                  <c:v>0.31666670000000002</c:v>
                </c:pt>
                <c:pt idx="20">
                  <c:v>0.3333333</c:v>
                </c:pt>
                <c:pt idx="21">
                  <c:v>0.35</c:v>
                </c:pt>
                <c:pt idx="22">
                  <c:v>0.36666670000000001</c:v>
                </c:pt>
                <c:pt idx="23">
                  <c:v>0.38333329999999999</c:v>
                </c:pt>
                <c:pt idx="24">
                  <c:v>0.4</c:v>
                </c:pt>
                <c:pt idx="25">
                  <c:v>0.4166667</c:v>
                </c:pt>
                <c:pt idx="26">
                  <c:v>0.43333329999999998</c:v>
                </c:pt>
                <c:pt idx="27">
                  <c:v>0.45</c:v>
                </c:pt>
                <c:pt idx="28">
                  <c:v>0.46666669999999999</c:v>
                </c:pt>
                <c:pt idx="29">
                  <c:v>0.48333330000000002</c:v>
                </c:pt>
                <c:pt idx="30">
                  <c:v>0.5</c:v>
                </c:pt>
                <c:pt idx="31">
                  <c:v>0.51666670000000003</c:v>
                </c:pt>
                <c:pt idx="32">
                  <c:v>0.53333330000000001</c:v>
                </c:pt>
                <c:pt idx="33">
                  <c:v>0.55000000000000004</c:v>
                </c:pt>
                <c:pt idx="34">
                  <c:v>0.56833330000000004</c:v>
                </c:pt>
                <c:pt idx="35">
                  <c:v>0.58499999999999996</c:v>
                </c:pt>
                <c:pt idx="36">
                  <c:v>0.6016667</c:v>
                </c:pt>
                <c:pt idx="37">
                  <c:v>0.61833329999999997</c:v>
                </c:pt>
                <c:pt idx="38">
                  <c:v>0.63500000000000001</c:v>
                </c:pt>
                <c:pt idx="39">
                  <c:v>0.65166670000000004</c:v>
                </c:pt>
                <c:pt idx="40">
                  <c:v>0.66833330000000002</c:v>
                </c:pt>
                <c:pt idx="41">
                  <c:v>0.68500000000000005</c:v>
                </c:pt>
                <c:pt idx="42">
                  <c:v>0.70166669999999998</c:v>
                </c:pt>
                <c:pt idx="43">
                  <c:v>0.71833329999999995</c:v>
                </c:pt>
                <c:pt idx="44">
                  <c:v>0.73499999999999999</c:v>
                </c:pt>
                <c:pt idx="45">
                  <c:v>0.75166670000000002</c:v>
                </c:pt>
                <c:pt idx="46">
                  <c:v>0.7683333</c:v>
                </c:pt>
                <c:pt idx="47">
                  <c:v>0.78500000000000003</c:v>
                </c:pt>
                <c:pt idx="48">
                  <c:v>0.80166669999999995</c:v>
                </c:pt>
                <c:pt idx="49">
                  <c:v>0.81833330000000004</c:v>
                </c:pt>
                <c:pt idx="50">
                  <c:v>0.83499999999999996</c:v>
                </c:pt>
              </c:numCache>
            </c:numRef>
          </c:xVal>
          <c:yVal>
            <c:numRef>
              <c:f>'20 sheets'!$C$2:$C$53</c:f>
              <c:numCache>
                <c:formatCode>0.000</c:formatCode>
                <c:ptCount val="52"/>
                <c:pt idx="0">
                  <c:v>0</c:v>
                </c:pt>
                <c:pt idx="1">
                  <c:v>0.16341293101612978</c:v>
                </c:pt>
                <c:pt idx="2">
                  <c:v>0.32630448821835573</c:v>
                </c:pt>
                <c:pt idx="3">
                  <c:v>0.48816022118879321</c:v>
                </c:pt>
                <c:pt idx="4">
                  <c:v>0.64847846782505292</c:v>
                </c:pt>
                <c:pt idx="5">
                  <c:v>0.80677675486054767</c:v>
                </c:pt>
                <c:pt idx="6">
                  <c:v>0.96259767883416003</c:v>
                </c:pt>
                <c:pt idx="7">
                  <c:v>1.1155135733077828</c:v>
                </c:pt>
                <c:pt idx="8">
                  <c:v>1.2651293989304633</c:v>
                </c:pt>
                <c:pt idx="9">
                  <c:v>1.4110904711074359</c:v>
                </c:pt>
                <c:pt idx="10">
                  <c:v>1.5530793437588697</c:v>
                </c:pt>
                <c:pt idx="11">
                  <c:v>1.6908202993320611</c:v>
                </c:pt>
                <c:pt idx="12">
                  <c:v>1.8240825643759042</c:v>
                </c:pt>
                <c:pt idx="13">
                  <c:v>1.9526753903746115</c:v>
                </c:pt>
                <c:pt idx="14">
                  <c:v>2.0764499658405846</c:v>
                </c:pt>
                <c:pt idx="15">
                  <c:v>2.1953001743650895</c:v>
                </c:pt>
                <c:pt idx="16">
                  <c:v>2.3091562373310053</c:v>
                </c:pt>
                <c:pt idx="17">
                  <c:v>2.4179847208377057</c:v>
                </c:pt>
                <c:pt idx="18">
                  <c:v>2.521787651863808</c:v>
                </c:pt>
                <c:pt idx="19">
                  <c:v>2.6205956396637391</c:v>
                </c:pt>
                <c:pt idx="20">
                  <c:v>2.7144668501339231</c:v>
                </c:pt>
                <c:pt idx="21">
                  <c:v>2.8034853688495174</c:v>
                </c:pt>
                <c:pt idx="22">
                  <c:v>2.8877546331425439</c:v>
                </c:pt>
                <c:pt idx="23">
                  <c:v>2.967396127662068</c:v>
                </c:pt>
                <c:pt idx="24">
                  <c:v>3.0425476875028354</c:v>
                </c:pt>
                <c:pt idx="25">
                  <c:v>3.113357791428478</c:v>
                </c:pt>
                <c:pt idx="26">
                  <c:v>3.1799844639876818</c:v>
                </c:pt>
                <c:pt idx="27">
                  <c:v>3.2425939224934845</c:v>
                </c:pt>
                <c:pt idx="28">
                  <c:v>3.301355970692482</c:v>
                </c:pt>
                <c:pt idx="29">
                  <c:v>3.3564433236641822</c:v>
                </c:pt>
                <c:pt idx="30">
                  <c:v>3.4080307472025768</c:v>
                </c:pt>
                <c:pt idx="31">
                  <c:v>3.4562915517464781</c:v>
                </c:pt>
                <c:pt idx="32">
                  <c:v>3.5013973632847732</c:v>
                </c:pt>
                <c:pt idx="33">
                  <c:v>3.5435177362048655</c:v>
                </c:pt>
                <c:pt idx="34">
                  <c:v>3.5865985384961481</c:v>
                </c:pt>
                <c:pt idx="35">
                  <c:v>3.6229812508766659</c:v>
                </c:pt>
                <c:pt idx="36">
                  <c:v>3.6568749076540761</c:v>
                </c:pt>
                <c:pt idx="37">
                  <c:v>3.6884286665394237</c:v>
                </c:pt>
                <c:pt idx="38">
                  <c:v>3.7177862776727553</c:v>
                </c:pt>
                <c:pt idx="39">
                  <c:v>3.7450847292181986</c:v>
                </c:pt>
                <c:pt idx="40">
                  <c:v>3.7704547424592048</c:v>
                </c:pt>
                <c:pt idx="41">
                  <c:v>3.7940211222876647</c:v>
                </c:pt>
                <c:pt idx="42">
                  <c:v>3.8159018603344013</c:v>
                </c:pt>
                <c:pt idx="43">
                  <c:v>3.8362087074042184</c:v>
                </c:pt>
                <c:pt idx="44">
                  <c:v>3.8550476086900796</c:v>
                </c:pt>
                <c:pt idx="45">
                  <c:v>3.8725181252190559</c:v>
                </c:pt>
                <c:pt idx="46">
                  <c:v>3.8887140165153276</c:v>
                </c:pt>
                <c:pt idx="47">
                  <c:v>3.9037236971845526</c:v>
                </c:pt>
                <c:pt idx="48">
                  <c:v>3.917629872803559</c:v>
                </c:pt>
                <c:pt idx="49">
                  <c:v>3.9305100905656105</c:v>
                </c:pt>
                <c:pt idx="50">
                  <c:v>3.9424371774957874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2B-435C-97A5-F435AF5889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568815"/>
        <c:axId val="27477583"/>
      </c:scatterChart>
      <c:valAx>
        <c:axId val="150568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77583"/>
        <c:crosses val="autoZero"/>
        <c:crossBetween val="midCat"/>
      </c:valAx>
      <c:valAx>
        <c:axId val="27477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688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Plot</a:t>
            </a:r>
            <a:r>
              <a:rPr lang="en-US" baseline="0"/>
              <a:t> of       against 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Final!$C$1</c:f>
              <c:strCache>
                <c:ptCount val="1"/>
                <c:pt idx="0">
                  <c:v>Vt^2 (m^2/s^2)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1.8833333333333334E-2"/>
                  <c:y val="0.23569444444444446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200" b="1" baseline="0"/>
                      <a:t>y = 0.8403x + 0.2394</a:t>
                    </a:r>
                    <a:endParaRPr lang="en-US" sz="1200" b="1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Final!$B$2:$B$18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</c:numCache>
            </c:numRef>
          </c:xVal>
          <c:yVal>
            <c:numRef>
              <c:f>Final!$C$2:$C$18</c:f>
              <c:numCache>
                <c:formatCode>0.000</c:formatCode>
                <c:ptCount val="17"/>
                <c:pt idx="0">
                  <c:v>0.88359999999999994</c:v>
                </c:pt>
                <c:pt idx="1">
                  <c:v>1.6129</c:v>
                </c:pt>
                <c:pt idx="2">
                  <c:v>4.3264000000000005</c:v>
                </c:pt>
                <c:pt idx="3">
                  <c:v>2.4336000000000002</c:v>
                </c:pt>
                <c:pt idx="4">
                  <c:v>3.8415999999999997</c:v>
                </c:pt>
                <c:pt idx="5">
                  <c:v>9.6720999999999986</c:v>
                </c:pt>
                <c:pt idx="6">
                  <c:v>16.719921000000003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56-47A1-93F0-2D127352AB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568335"/>
        <c:axId val="230272527"/>
      </c:scatterChart>
      <c:valAx>
        <c:axId val="150568335"/>
        <c:scaling>
          <c:orientation val="minMax"/>
          <c:max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272527"/>
        <c:crosses val="autoZero"/>
        <c:crossBetween val="midCat"/>
      </c:valAx>
      <c:valAx>
        <c:axId val="23027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683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750570</xdr:colOff>
      <xdr:row>5</xdr:row>
      <xdr:rowOff>140970</xdr:rowOff>
    </xdr:from>
    <xdr:to>
      <xdr:col>9</xdr:col>
      <xdr:colOff>415290</xdr:colOff>
      <xdr:row>19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4F98C3-2290-1F53-DF2E-A1EFAC7FA2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171450</xdr:colOff>
      <xdr:row>5</xdr:row>
      <xdr:rowOff>140970</xdr:rowOff>
    </xdr:from>
    <xdr:to>
      <xdr:col>9</xdr:col>
      <xdr:colOff>567690</xdr:colOff>
      <xdr:row>19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13C4BE-75C6-B25E-1FF3-118B92BF5F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659130</xdr:colOff>
      <xdr:row>5</xdr:row>
      <xdr:rowOff>140970</xdr:rowOff>
    </xdr:from>
    <xdr:to>
      <xdr:col>9</xdr:col>
      <xdr:colOff>270510</xdr:colOff>
      <xdr:row>19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C35C4B-A32B-044F-F2EA-A7D7AC5FB7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209550</xdr:colOff>
      <xdr:row>5</xdr:row>
      <xdr:rowOff>140970</xdr:rowOff>
    </xdr:from>
    <xdr:to>
      <xdr:col>9</xdr:col>
      <xdr:colOff>659130</xdr:colOff>
      <xdr:row>19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73E30F-1567-9472-E6EA-E120876A0D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49530</xdr:colOff>
      <xdr:row>5</xdr:row>
      <xdr:rowOff>140970</xdr:rowOff>
    </xdr:from>
    <xdr:to>
      <xdr:col>9</xdr:col>
      <xdr:colOff>544830</xdr:colOff>
      <xdr:row>19</xdr:row>
      <xdr:rowOff>110490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80FF892-8276-3AE6-C809-CB25017794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555812</xdr:colOff>
      <xdr:row>4</xdr:row>
      <xdr:rowOff>134471</xdr:rowOff>
    </xdr:from>
    <xdr:to>
      <xdr:col>14</xdr:col>
      <xdr:colOff>17929</xdr:colOff>
      <xdr:row>18</xdr:row>
      <xdr:rowOff>116541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111E6C1-0024-B4F5-F140-0C034C31F8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529590</xdr:colOff>
      <xdr:row>8</xdr:row>
      <xdr:rowOff>194310</xdr:rowOff>
    </xdr:from>
    <xdr:to>
      <xdr:col>6</xdr:col>
      <xdr:colOff>579120</xdr:colOff>
      <xdr:row>22</xdr:row>
      <xdr:rowOff>163830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4DE09FA-4A8A-E830-47D7-FB160F8B5F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9</xdr:col>
      <xdr:colOff>430530</xdr:colOff>
      <xdr:row>9</xdr:row>
      <xdr:rowOff>80010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82784DC-9542-0554-3038-EE053C352F26}"/>
            </a:ext>
          </a:extLst>
        </xdr:cNvPr>
        <xdr:cNvSpPr txBox="1"/>
      </xdr:nvSpPr>
      <xdr:spPr>
        <a:xfrm>
          <a:off x="9170670" y="186309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529590</xdr:colOff>
      <xdr:row>9</xdr:row>
      <xdr:rowOff>80010</xdr:rowOff>
    </xdr:from>
    <xdr:ext cx="242823" cy="23423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83252DAA-0BDD-07DC-A31E-1210BF0A417A}"/>
                </a:ext>
              </a:extLst>
            </xdr:cNvPr>
            <xdr:cNvSpPr txBox="1"/>
          </xdr:nvSpPr>
          <xdr:spPr>
            <a:xfrm>
              <a:off x="2747010" y="1863090"/>
              <a:ext cx="242823" cy="234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400" i="1">
                            <a:solidFill>
                              <a:srgbClr val="836967"/>
                            </a:solidFill>
                            <a:latin typeface="+mn-lt"/>
                          </a:rPr>
                        </m:ctrlPr>
                      </m:sSubSupPr>
                      <m:e>
                        <m:r>
                          <a:rPr lang="en-US" sz="1400" i="1">
                            <a:latin typeface="+mn-lt"/>
                          </a:rPr>
                          <m:t>𝑉</m:t>
                        </m:r>
                      </m:e>
                      <m:sub>
                        <m:r>
                          <a:rPr lang="en-US" sz="1400" i="1">
                            <a:latin typeface="+mn-lt"/>
                          </a:rPr>
                          <m:t>𝑇</m:t>
                        </m:r>
                      </m:sub>
                      <m:sup>
                        <m:r>
                          <a:rPr lang="en-US" sz="1400" i="1">
                            <a:latin typeface="+mn-lt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sz="1400">
                <a:latin typeface="+mn-lt"/>
              </a:endParaRPr>
            </a:p>
          </xdr:txBody>
        </xdr:sp>
      </mc:Choice>
      <mc:Fallback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83252DAA-0BDD-07DC-A31E-1210BF0A417A}"/>
                </a:ext>
              </a:extLst>
            </xdr:cNvPr>
            <xdr:cNvSpPr txBox="1"/>
          </xdr:nvSpPr>
          <xdr:spPr>
            <a:xfrm>
              <a:off x="2747010" y="1863090"/>
              <a:ext cx="242823" cy="234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i="0">
                  <a:latin typeface="+mn-lt"/>
                </a:rPr>
                <a:t>𝑉</a:t>
              </a:r>
              <a:r>
                <a:rPr lang="en-US" sz="1400" i="0">
                  <a:solidFill>
                    <a:srgbClr val="836967"/>
                  </a:solidFill>
                  <a:latin typeface="+mn-lt"/>
                </a:rPr>
                <a:t>_</a:t>
              </a:r>
              <a:r>
                <a:rPr lang="en-US" sz="1400" i="0">
                  <a:latin typeface="+mn-lt"/>
                </a:rPr>
                <a:t>𝑇^2</a:t>
              </a:r>
              <a:endParaRPr lang="en-US" sz="1400">
                <a:latin typeface="+mn-lt"/>
              </a:endParaRPr>
            </a:p>
          </xdr:txBody>
        </xdr:sp>
      </mc:Fallback>
    </mc:AlternateContent>
    <xdr:clientData/>
  </xdr:oneCellAnchor>
  <xdr:oneCellAnchor>
    <xdr:from>
      <xdr:col>0</xdr:col>
      <xdr:colOff>588992</xdr:colOff>
      <xdr:row>13</xdr:row>
      <xdr:rowOff>186187</xdr:rowOff>
    </xdr:from>
    <xdr:ext cx="243143" cy="88011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121C71CB-114B-E446-7C24-009AA0FCD4B3}"/>
                </a:ext>
              </a:extLst>
            </xdr:cNvPr>
            <xdr:cNvSpPr txBox="1"/>
          </xdr:nvSpPr>
          <xdr:spPr>
            <a:xfrm rot="16200000">
              <a:off x="270509" y="3080230"/>
              <a:ext cx="880110" cy="2431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400" i="1">
                            <a:solidFill>
                              <a:srgbClr val="836967"/>
                            </a:solidFill>
                            <a:latin typeface="+mn-lt"/>
                          </a:rPr>
                        </m:ctrlPr>
                      </m:sSubSupPr>
                      <m:e>
                        <m:r>
                          <a:rPr lang="en-US" sz="1400" i="1">
                            <a:latin typeface="+mn-lt"/>
                          </a:rPr>
                          <m:t>𝑉</m:t>
                        </m:r>
                      </m:e>
                      <m:sub>
                        <m:r>
                          <a:rPr lang="en-US" sz="1400" i="1">
                            <a:latin typeface="+mn-lt"/>
                          </a:rPr>
                          <m:t>𝑇</m:t>
                        </m:r>
                      </m:sub>
                      <m:sup>
                        <m:r>
                          <a:rPr lang="en-US" sz="1400" i="1">
                            <a:latin typeface="+mn-lt"/>
                          </a:rPr>
                          <m:t>2</m:t>
                        </m:r>
                      </m:sup>
                    </m:sSubSup>
                    <m:d>
                      <m:dPr>
                        <m:ctrlPr>
                          <a:rPr lang="en-US" sz="1400" i="1">
                            <a:solidFill>
                              <a:srgbClr val="836967"/>
                            </a:solidFill>
                            <a:latin typeface="+mn-lt"/>
                          </a:rPr>
                        </m:ctrlPr>
                      </m:dPr>
                      <m:e>
                        <m:f>
                          <m:fPr>
                            <m:type m:val="lin"/>
                            <m:ctrlPr>
                              <a:rPr lang="en-US" sz="1400" i="1">
                                <a:latin typeface="+mn-lt"/>
                              </a:rPr>
                            </m:ctrlPr>
                          </m:fPr>
                          <m:num>
                            <m:sSup>
                              <m:sSupPr>
                                <m:ctrlPr>
                                  <a:rPr lang="en-US" sz="1400" i="1">
                                    <a:solidFill>
                                      <a:srgbClr val="836967"/>
                                    </a:solidFill>
                                    <a:latin typeface="+mn-lt"/>
                                  </a:rPr>
                                </m:ctrlPr>
                              </m:sSupPr>
                              <m:e>
                                <m:r>
                                  <a:rPr lang="en-US" sz="1400" i="1">
                                    <a:latin typeface="+mn-lt"/>
                                  </a:rPr>
                                  <m:t>𝑚</m:t>
                                </m:r>
                              </m:e>
                              <m:sup>
                                <m:r>
                                  <a:rPr lang="en-US" sz="1400" i="1">
                                    <a:latin typeface="+mn-lt"/>
                                  </a:rPr>
                                  <m:t>2</m:t>
                                </m:r>
                              </m:sup>
                            </m:sSup>
                          </m:num>
                          <m:den>
                            <m:sSup>
                              <m:sSupPr>
                                <m:ctrlPr>
                                  <a:rPr lang="en-US" sz="1400" i="1">
                                    <a:solidFill>
                                      <a:srgbClr val="836967"/>
                                    </a:solidFill>
                                    <a:latin typeface="+mn-lt"/>
                                  </a:rPr>
                                </m:ctrlPr>
                              </m:sSupPr>
                              <m:e>
                                <m:r>
                                  <a:rPr lang="en-US" sz="1400" i="1">
                                    <a:latin typeface="+mn-lt"/>
                                  </a:rPr>
                                  <m:t>𝑠</m:t>
                                </m:r>
                              </m:e>
                              <m:sup>
                                <m:r>
                                  <a:rPr lang="en-US" sz="1400" i="1">
                                    <a:latin typeface="+mn-lt"/>
                                  </a:rPr>
                                  <m:t>2</m:t>
                                </m:r>
                              </m:sup>
                            </m:sSup>
                          </m:den>
                        </m:f>
                      </m:e>
                    </m:d>
                  </m:oMath>
                </m:oMathPara>
              </a14:m>
              <a:endParaRPr lang="en-US" sz="1400">
                <a:latin typeface="+mn-lt"/>
              </a:endParaRPr>
            </a:p>
          </xdr:txBody>
        </xdr:sp>
      </mc:Choice>
      <mc:Fallback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121C71CB-114B-E446-7C24-009AA0FCD4B3}"/>
                </a:ext>
              </a:extLst>
            </xdr:cNvPr>
            <xdr:cNvSpPr txBox="1"/>
          </xdr:nvSpPr>
          <xdr:spPr>
            <a:xfrm rot="16200000">
              <a:off x="270509" y="3080230"/>
              <a:ext cx="880110" cy="2431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i="0">
                  <a:latin typeface="+mn-lt"/>
                </a:rPr>
                <a:t>𝑉</a:t>
              </a:r>
              <a:r>
                <a:rPr lang="en-US" sz="1400" i="0">
                  <a:solidFill>
                    <a:srgbClr val="836967"/>
                  </a:solidFill>
                  <a:latin typeface="+mn-lt"/>
                </a:rPr>
                <a:t>_</a:t>
              </a:r>
              <a:r>
                <a:rPr lang="en-US" sz="1400" i="0">
                  <a:latin typeface="+mn-lt"/>
                </a:rPr>
                <a:t>𝑇^2</a:t>
              </a:r>
              <a:r>
                <a:rPr lang="en-US" sz="1400" i="0">
                  <a:solidFill>
                    <a:srgbClr val="836967"/>
                  </a:solidFill>
                  <a:latin typeface="+mn-lt"/>
                </a:rPr>
                <a:t> (</a:t>
              </a:r>
              <a:r>
                <a:rPr lang="en-US" sz="1400" i="0">
                  <a:latin typeface="+mn-lt"/>
                </a:rPr>
                <a:t>𝑚</a:t>
              </a:r>
              <a:r>
                <a:rPr lang="en-US" sz="1400" i="0">
                  <a:solidFill>
                    <a:srgbClr val="836967"/>
                  </a:solidFill>
                  <a:latin typeface="+mn-lt"/>
                </a:rPr>
                <a:t>^</a:t>
              </a:r>
              <a:r>
                <a:rPr lang="en-US" sz="1400" i="0">
                  <a:latin typeface="+mn-lt"/>
                </a:rPr>
                <a:t>2∕𝑠</a:t>
              </a:r>
              <a:r>
                <a:rPr lang="en-US" sz="1400" i="0">
                  <a:solidFill>
                    <a:srgbClr val="836967"/>
                  </a:solidFill>
                  <a:latin typeface="+mn-lt"/>
                </a:rPr>
                <a:t>^</a:t>
              </a:r>
              <a:r>
                <a:rPr lang="en-US" sz="1400" i="0">
                  <a:latin typeface="+mn-lt"/>
                </a:rPr>
                <a:t>2 )</a:t>
              </a:r>
              <a:endParaRPr lang="en-US" sz="1400">
                <a:latin typeface="+mn-lt"/>
              </a:endParaRPr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65D30-4093-468E-8743-B74FC7E50A0E}">
  <dimension ref="A1:H134"/>
  <sheetViews>
    <sheetView zoomScaleNormal="100" workbookViewId="0">
      <selection activeCell="G14" sqref="G14"/>
    </sheetView>
  </sheetViews>
  <sheetFormatPr defaultRowHeight="15.6" x14ac:dyDescent="0.3"/>
  <cols>
    <col min="2" max="2" width="14.19921875" customWidth="1"/>
    <col min="3" max="3" width="13.8984375" customWidth="1"/>
    <col min="6" max="6" width="21.09765625" customWidth="1"/>
    <col min="7" max="7" width="23.296875" customWidth="1"/>
    <col min="8" max="8" width="10.8984375" customWidth="1"/>
  </cols>
  <sheetData>
    <row r="1" spans="1:8" x14ac:dyDescent="0.3">
      <c r="A1" s="1" t="s">
        <v>0</v>
      </c>
      <c r="B1" s="1" t="s">
        <v>11</v>
      </c>
      <c r="C1" s="1" t="s">
        <v>10</v>
      </c>
      <c r="F1" t="s">
        <v>1</v>
      </c>
      <c r="G1" t="s">
        <v>5</v>
      </c>
      <c r="H1" t="s">
        <v>2</v>
      </c>
    </row>
    <row r="2" spans="1:8" x14ac:dyDescent="0.3">
      <c r="A2" s="2">
        <v>0</v>
      </c>
      <c r="B2" s="2">
        <v>0</v>
      </c>
      <c r="C2" s="2">
        <v>2.109</v>
      </c>
      <c r="F2">
        <v>-9.81</v>
      </c>
      <c r="G2" s="4">
        <v>-0.94</v>
      </c>
      <c r="H2" s="3">
        <f>G2/F2</f>
        <v>9.5820591233435254E-2</v>
      </c>
    </row>
    <row r="3" spans="1:8" x14ac:dyDescent="0.3">
      <c r="A3" s="2">
        <v>1.7000000000000001E-2</v>
      </c>
      <c r="B3" s="2">
        <v>-0.54600000000000004</v>
      </c>
      <c r="C3" s="2">
        <v>2.101</v>
      </c>
      <c r="G3" t="s">
        <v>13</v>
      </c>
    </row>
    <row r="4" spans="1:8" x14ac:dyDescent="0.3">
      <c r="A4" s="2">
        <v>3.3000000000000002E-2</v>
      </c>
      <c r="B4" s="2">
        <v>-0.54600000000000004</v>
      </c>
      <c r="C4" s="2">
        <v>2.0910000000000002</v>
      </c>
    </row>
    <row r="5" spans="1:8" x14ac:dyDescent="0.3">
      <c r="A5" s="2">
        <v>0.05</v>
      </c>
      <c r="B5" s="2">
        <v>-0.45800000000000002</v>
      </c>
      <c r="C5" s="2">
        <v>2.0830000000000002</v>
      </c>
    </row>
    <row r="6" spans="1:8" x14ac:dyDescent="0.3">
      <c r="A6" s="2">
        <v>6.7000000000000004E-2</v>
      </c>
      <c r="B6" s="2">
        <v>-0.41499999999999998</v>
      </c>
      <c r="C6" s="2">
        <v>2.0760000000000001</v>
      </c>
    </row>
    <row r="7" spans="1:8" x14ac:dyDescent="0.3">
      <c r="A7" s="2">
        <v>8.3000000000000004E-2</v>
      </c>
      <c r="B7" s="2">
        <v>-0.48</v>
      </c>
      <c r="C7" s="2">
        <v>2.069</v>
      </c>
      <c r="G7">
        <v>-0.89400000000000002</v>
      </c>
      <c r="H7" t="s">
        <v>4</v>
      </c>
    </row>
    <row r="8" spans="1:8" x14ac:dyDescent="0.3">
      <c r="A8" s="2">
        <v>0.1</v>
      </c>
      <c r="B8" s="2">
        <v>-0.502</v>
      </c>
      <c r="C8" s="2">
        <v>2.06</v>
      </c>
      <c r="G8" t="s">
        <v>3</v>
      </c>
    </row>
    <row r="9" spans="1:8" x14ac:dyDescent="0.3">
      <c r="A9" s="2">
        <v>0.11700000000000001</v>
      </c>
      <c r="B9" s="2">
        <v>-0.45800000000000002</v>
      </c>
      <c r="C9" s="2">
        <v>2.052</v>
      </c>
    </row>
    <row r="10" spans="1:8" x14ac:dyDescent="0.3">
      <c r="A10" s="2">
        <v>0.13300000000000001</v>
      </c>
      <c r="B10" s="2">
        <v>-0.96</v>
      </c>
      <c r="C10" s="2">
        <v>2.044</v>
      </c>
    </row>
    <row r="11" spans="1:8" x14ac:dyDescent="0.3">
      <c r="A11" s="2">
        <v>0.15</v>
      </c>
      <c r="B11" s="2">
        <v>-1.266</v>
      </c>
      <c r="C11" s="2">
        <v>2.02</v>
      </c>
    </row>
    <row r="12" spans="1:8" x14ac:dyDescent="0.3">
      <c r="A12" s="2">
        <v>0.16700000000000001</v>
      </c>
      <c r="B12" s="2">
        <v>-1.026</v>
      </c>
      <c r="C12" s="2">
        <v>2.0019999999999998</v>
      </c>
    </row>
    <row r="13" spans="1:8" x14ac:dyDescent="0.3">
      <c r="A13" s="2">
        <v>0.183</v>
      </c>
      <c r="B13" s="2">
        <v>-0.80700000000000005</v>
      </c>
      <c r="C13" s="2">
        <v>1.986</v>
      </c>
    </row>
    <row r="14" spans="1:8" x14ac:dyDescent="0.3">
      <c r="A14" s="2">
        <v>0.2</v>
      </c>
      <c r="B14" s="2">
        <v>-0.69799999999999995</v>
      </c>
      <c r="C14" s="2">
        <v>1.9750000000000001</v>
      </c>
    </row>
    <row r="15" spans="1:8" x14ac:dyDescent="0.3">
      <c r="A15" s="2">
        <v>0.217</v>
      </c>
      <c r="B15" s="2">
        <v>-0.89500000000000002</v>
      </c>
      <c r="C15" s="2">
        <v>1.9630000000000001</v>
      </c>
    </row>
    <row r="16" spans="1:8" x14ac:dyDescent="0.3">
      <c r="A16" s="2">
        <v>0.23300000000000001</v>
      </c>
      <c r="B16" s="2">
        <v>-1.048</v>
      </c>
      <c r="C16" s="2">
        <v>1.9450000000000001</v>
      </c>
    </row>
    <row r="17" spans="1:3" x14ac:dyDescent="0.3">
      <c r="A17" s="2">
        <v>0.25</v>
      </c>
      <c r="B17" s="2">
        <v>-0.873</v>
      </c>
      <c r="C17" s="2">
        <v>1.9279999999999999</v>
      </c>
    </row>
    <row r="18" spans="1:3" x14ac:dyDescent="0.3">
      <c r="A18" s="2">
        <v>0.26700000000000002</v>
      </c>
      <c r="B18" s="2">
        <v>-0.80700000000000005</v>
      </c>
      <c r="C18" s="2">
        <v>1.9159999999999999</v>
      </c>
    </row>
    <row r="19" spans="1:3" x14ac:dyDescent="0.3">
      <c r="A19" s="2">
        <v>0.28299999999999997</v>
      </c>
      <c r="B19" s="2">
        <v>-0.89500000000000002</v>
      </c>
      <c r="C19" s="2">
        <v>1.901</v>
      </c>
    </row>
    <row r="20" spans="1:3" x14ac:dyDescent="0.3">
      <c r="A20" s="2">
        <v>0.3</v>
      </c>
      <c r="B20" s="2">
        <v>-0.76400000000000001</v>
      </c>
      <c r="C20" s="2">
        <v>1.887</v>
      </c>
    </row>
    <row r="21" spans="1:3" x14ac:dyDescent="0.3">
      <c r="A21" s="2">
        <v>0.317</v>
      </c>
      <c r="B21" s="2">
        <v>-0.93799999999999994</v>
      </c>
      <c r="C21" s="2">
        <v>1.8759999999999999</v>
      </c>
    </row>
    <row r="22" spans="1:3" x14ac:dyDescent="0.3">
      <c r="A22" s="2">
        <v>0.33300000000000002</v>
      </c>
      <c r="B22" s="2">
        <v>-0.91700000000000004</v>
      </c>
      <c r="C22" s="2">
        <v>1.855</v>
      </c>
    </row>
    <row r="23" spans="1:3" x14ac:dyDescent="0.3">
      <c r="A23" s="2">
        <v>0.35</v>
      </c>
      <c r="B23" s="2">
        <v>-0.96</v>
      </c>
      <c r="C23" s="2">
        <v>1.845</v>
      </c>
    </row>
    <row r="24" spans="1:3" x14ac:dyDescent="0.3">
      <c r="A24" s="2">
        <v>0.36699999999999999</v>
      </c>
      <c r="B24" s="2">
        <v>-1.048</v>
      </c>
      <c r="C24" s="2">
        <v>1.823</v>
      </c>
    </row>
    <row r="25" spans="1:3" x14ac:dyDescent="0.3">
      <c r="A25" s="2">
        <v>0.38300000000000001</v>
      </c>
      <c r="B25" s="2">
        <v>-1.419</v>
      </c>
      <c r="C25" s="2">
        <v>1.81</v>
      </c>
    </row>
    <row r="26" spans="1:3" x14ac:dyDescent="0.3">
      <c r="A26" s="2">
        <v>0.4</v>
      </c>
      <c r="B26" s="2">
        <v>-1.528</v>
      </c>
      <c r="C26" s="2">
        <v>1.776</v>
      </c>
    </row>
    <row r="27" spans="1:3" x14ac:dyDescent="0.3">
      <c r="A27" s="2">
        <v>0.41699999999999998</v>
      </c>
      <c r="B27" s="2">
        <v>-0.89500000000000002</v>
      </c>
      <c r="C27" s="2">
        <v>1.7589999999999999</v>
      </c>
    </row>
    <row r="28" spans="1:3" x14ac:dyDescent="0.3">
      <c r="A28" s="2">
        <v>0.433</v>
      </c>
      <c r="B28" s="2">
        <v>-0.85099999999999998</v>
      </c>
      <c r="C28" s="2">
        <v>1.746</v>
      </c>
    </row>
    <row r="29" spans="1:3" x14ac:dyDescent="0.3">
      <c r="A29" s="2">
        <v>0.45</v>
      </c>
      <c r="B29" s="2">
        <v>-0.82899999999999996</v>
      </c>
      <c r="C29" s="2">
        <v>1.7310000000000001</v>
      </c>
    </row>
    <row r="30" spans="1:3" x14ac:dyDescent="0.3">
      <c r="A30" s="2">
        <v>0.46700000000000003</v>
      </c>
      <c r="B30" s="2">
        <v>-0.82899999999999996</v>
      </c>
      <c r="C30" s="2">
        <v>1.718</v>
      </c>
    </row>
    <row r="31" spans="1:3" x14ac:dyDescent="0.3">
      <c r="A31" s="2">
        <v>0.48299999999999998</v>
      </c>
      <c r="B31" s="2">
        <v>-1.375</v>
      </c>
      <c r="C31" s="2">
        <v>1.7030000000000001</v>
      </c>
    </row>
    <row r="32" spans="1:3" x14ac:dyDescent="0.3">
      <c r="A32" s="2">
        <v>0.5</v>
      </c>
      <c r="B32" s="2">
        <v>-1.571</v>
      </c>
      <c r="C32" s="2">
        <v>1.673</v>
      </c>
    </row>
    <row r="33" spans="1:3" x14ac:dyDescent="0.3">
      <c r="A33" s="2">
        <v>0.51700000000000002</v>
      </c>
      <c r="B33" s="2">
        <v>-1.135</v>
      </c>
      <c r="C33" s="2">
        <v>1.651</v>
      </c>
    </row>
    <row r="34" spans="1:3" x14ac:dyDescent="0.3">
      <c r="A34" s="2">
        <v>0.53300000000000003</v>
      </c>
      <c r="B34" s="2">
        <v>-1.484</v>
      </c>
      <c r="C34" s="2">
        <v>1.635</v>
      </c>
    </row>
    <row r="35" spans="1:3" x14ac:dyDescent="0.3">
      <c r="A35" s="2">
        <v>0.55000000000000004</v>
      </c>
      <c r="B35" s="2">
        <v>-2.0510000000000002</v>
      </c>
      <c r="C35" s="2">
        <v>1.601</v>
      </c>
    </row>
    <row r="36" spans="1:3" x14ac:dyDescent="0.3">
      <c r="A36" s="2">
        <v>0.56699999999999995</v>
      </c>
      <c r="B36" s="2">
        <v>-1.593</v>
      </c>
      <c r="C36" s="2">
        <v>1.5660000000000001</v>
      </c>
    </row>
    <row r="37" spans="1:3" x14ac:dyDescent="0.3">
      <c r="A37" s="2">
        <v>0.58299999999999996</v>
      </c>
      <c r="B37" s="2">
        <v>-1.069</v>
      </c>
      <c r="C37" s="2">
        <v>1.548</v>
      </c>
    </row>
    <row r="38" spans="1:3" x14ac:dyDescent="0.3">
      <c r="A38" s="2">
        <v>0.6</v>
      </c>
      <c r="B38" s="2">
        <v>-0.91700000000000004</v>
      </c>
      <c r="C38" s="2">
        <v>1.5309999999999999</v>
      </c>
    </row>
    <row r="39" spans="1:3" x14ac:dyDescent="0.3">
      <c r="A39" s="2">
        <v>0.61699999999999999</v>
      </c>
      <c r="B39" s="2">
        <v>-0.82899999999999996</v>
      </c>
      <c r="C39" s="2">
        <v>1.518</v>
      </c>
    </row>
    <row r="40" spans="1:3" x14ac:dyDescent="0.3">
      <c r="A40" s="2">
        <v>0.63300000000000001</v>
      </c>
      <c r="B40" s="2">
        <v>-1.048</v>
      </c>
      <c r="C40" s="2">
        <v>1.5029999999999999</v>
      </c>
    </row>
    <row r="41" spans="1:3" x14ac:dyDescent="0.3">
      <c r="A41" s="2">
        <v>0.65</v>
      </c>
      <c r="B41" s="2">
        <v>-1.2</v>
      </c>
      <c r="C41" s="2">
        <v>1.4830000000000001</v>
      </c>
    </row>
    <row r="42" spans="1:3" x14ac:dyDescent="0.3">
      <c r="A42" s="2">
        <v>0.66700000000000004</v>
      </c>
      <c r="B42" s="2">
        <v>-1.1779999999999999</v>
      </c>
      <c r="C42" s="2">
        <v>1.4630000000000001</v>
      </c>
    </row>
    <row r="43" spans="1:3" x14ac:dyDescent="0.3">
      <c r="A43" s="2">
        <v>0.68300000000000005</v>
      </c>
      <c r="B43" s="2">
        <v>-1.069</v>
      </c>
      <c r="C43" s="2">
        <v>1.444</v>
      </c>
    </row>
    <row r="44" spans="1:3" x14ac:dyDescent="0.3">
      <c r="A44" s="2">
        <v>0.7</v>
      </c>
      <c r="B44" s="2">
        <v>-1.157</v>
      </c>
      <c r="C44" s="2">
        <v>1.4279999999999999</v>
      </c>
    </row>
    <row r="45" spans="1:3" x14ac:dyDescent="0.3">
      <c r="A45" s="2">
        <v>0.71699999999999997</v>
      </c>
      <c r="B45" s="2">
        <v>-1.528</v>
      </c>
      <c r="C45" s="2">
        <v>1.405</v>
      </c>
    </row>
    <row r="46" spans="1:3" x14ac:dyDescent="0.3">
      <c r="A46" s="2">
        <v>0.73299999999999998</v>
      </c>
      <c r="B46" s="2">
        <v>-1.419</v>
      </c>
      <c r="C46" s="2">
        <v>1.377</v>
      </c>
    </row>
    <row r="47" spans="1:3" x14ac:dyDescent="0.3">
      <c r="A47" s="2">
        <v>0.75</v>
      </c>
      <c r="B47" s="2">
        <v>-1.091</v>
      </c>
      <c r="C47" s="2">
        <v>1.3580000000000001</v>
      </c>
    </row>
    <row r="48" spans="1:3" x14ac:dyDescent="0.3">
      <c r="A48" s="2">
        <v>0.76700000000000002</v>
      </c>
      <c r="B48" s="2">
        <v>-0.98199999999999998</v>
      </c>
      <c r="C48" s="2">
        <v>1.34</v>
      </c>
    </row>
    <row r="49" spans="1:3" x14ac:dyDescent="0.3">
      <c r="A49" s="2">
        <v>0.78300000000000003</v>
      </c>
      <c r="B49" s="2">
        <v>-0.89500000000000002</v>
      </c>
      <c r="C49" s="2">
        <v>1.325</v>
      </c>
    </row>
    <row r="50" spans="1:3" x14ac:dyDescent="0.3">
      <c r="A50" s="2">
        <v>0.8</v>
      </c>
      <c r="B50" s="2">
        <v>-0.873</v>
      </c>
      <c r="C50" s="2">
        <v>1.31</v>
      </c>
    </row>
    <row r="51" spans="1:3" x14ac:dyDescent="0.3">
      <c r="A51" s="2">
        <v>0.81699999999999995</v>
      </c>
      <c r="B51" s="2">
        <v>-1.484</v>
      </c>
      <c r="C51" s="2">
        <v>1.296</v>
      </c>
    </row>
    <row r="52" spans="1:3" x14ac:dyDescent="0.3">
      <c r="A52" s="2">
        <v>0.83299999999999996</v>
      </c>
      <c r="B52" s="2">
        <v>-1.637</v>
      </c>
      <c r="C52" s="2">
        <v>1.2609999999999999</v>
      </c>
    </row>
    <row r="53" spans="1:3" x14ac:dyDescent="0.3">
      <c r="A53" s="2">
        <v>0.85</v>
      </c>
      <c r="B53" s="2">
        <v>-1.135</v>
      </c>
      <c r="C53" s="2">
        <v>1.2410000000000001</v>
      </c>
    </row>
    <row r="54" spans="1:3" x14ac:dyDescent="0.3">
      <c r="A54" s="2">
        <v>0.86699999999999999</v>
      </c>
      <c r="B54" s="2">
        <v>-1.048</v>
      </c>
      <c r="C54" s="2">
        <v>1.2230000000000001</v>
      </c>
    </row>
    <row r="55" spans="1:3" x14ac:dyDescent="0.3">
      <c r="A55" s="2">
        <v>0.88300000000000001</v>
      </c>
      <c r="B55" s="2">
        <v>-1.222</v>
      </c>
      <c r="C55" s="2">
        <v>1.206</v>
      </c>
    </row>
    <row r="56" spans="1:3" x14ac:dyDescent="0.3">
      <c r="A56" s="2">
        <v>0.9</v>
      </c>
      <c r="B56" s="2">
        <v>-1.615</v>
      </c>
      <c r="C56" s="2">
        <v>1.1819999999999999</v>
      </c>
    </row>
    <row r="57" spans="1:3" x14ac:dyDescent="0.3">
      <c r="A57" s="2">
        <v>0.91700000000000004</v>
      </c>
      <c r="B57" s="2">
        <v>-1.659</v>
      </c>
      <c r="C57" s="2">
        <v>1.153</v>
      </c>
    </row>
    <row r="58" spans="1:3" x14ac:dyDescent="0.3">
      <c r="A58" s="2">
        <v>0.93300000000000005</v>
      </c>
      <c r="B58" s="2">
        <v>-1.593</v>
      </c>
      <c r="C58" s="2">
        <v>1.127</v>
      </c>
    </row>
    <row r="59" spans="1:3" x14ac:dyDescent="0.3">
      <c r="A59" s="2">
        <v>0.95</v>
      </c>
      <c r="B59" s="2">
        <v>-1.615</v>
      </c>
      <c r="C59" s="2">
        <v>1.099</v>
      </c>
    </row>
    <row r="60" spans="1:3" x14ac:dyDescent="0.3">
      <c r="A60" s="2">
        <v>0.96699999999999997</v>
      </c>
      <c r="B60" s="2">
        <v>-1.222</v>
      </c>
      <c r="C60" s="2">
        <v>1.073</v>
      </c>
    </row>
    <row r="61" spans="1:3" x14ac:dyDescent="0.3">
      <c r="A61" s="2">
        <v>0.98299999999999998</v>
      </c>
      <c r="B61" s="2">
        <v>-0.93799999999999994</v>
      </c>
      <c r="C61" s="2">
        <v>1.0589999999999999</v>
      </c>
    </row>
    <row r="62" spans="1:3" x14ac:dyDescent="0.3">
      <c r="A62" s="2">
        <v>1</v>
      </c>
      <c r="B62" s="2">
        <v>-1.048</v>
      </c>
      <c r="C62" s="2">
        <v>1.042</v>
      </c>
    </row>
    <row r="63" spans="1:3" x14ac:dyDescent="0.3">
      <c r="A63" s="2">
        <v>1.0169999999999999</v>
      </c>
      <c r="B63" s="2">
        <v>-0.98199999999999998</v>
      </c>
      <c r="C63" s="2">
        <v>1.024</v>
      </c>
    </row>
    <row r="64" spans="1:3" x14ac:dyDescent="0.3">
      <c r="A64" s="2">
        <v>1.0329999999999999</v>
      </c>
      <c r="B64" s="2">
        <v>-0.63300000000000001</v>
      </c>
      <c r="C64" s="2">
        <v>1.0089999999999999</v>
      </c>
    </row>
    <row r="65" spans="1:3" x14ac:dyDescent="0.3">
      <c r="A65" s="2">
        <v>1.05</v>
      </c>
      <c r="B65" s="2">
        <v>-0.52400000000000002</v>
      </c>
      <c r="C65" s="2">
        <v>1.0029999999999999</v>
      </c>
    </row>
    <row r="66" spans="1:3" x14ac:dyDescent="0.3">
      <c r="A66" s="2">
        <v>1.0669999999999999</v>
      </c>
      <c r="B66" s="2">
        <v>-0.72</v>
      </c>
      <c r="C66" s="2">
        <v>0.99199999999999999</v>
      </c>
    </row>
    <row r="67" spans="1:3" x14ac:dyDescent="0.3">
      <c r="A67" s="2">
        <v>1.083</v>
      </c>
      <c r="B67" s="2">
        <v>-0.69799999999999995</v>
      </c>
      <c r="C67" s="2">
        <v>0.97899999999999998</v>
      </c>
    </row>
    <row r="68" spans="1:3" x14ac:dyDescent="0.3">
      <c r="A68" s="2">
        <v>1.1000000000000001</v>
      </c>
      <c r="B68" s="2">
        <v>-0.58899999999999997</v>
      </c>
      <c r="C68" s="2">
        <v>0.96799999999999997</v>
      </c>
    </row>
    <row r="69" spans="1:3" x14ac:dyDescent="0.3">
      <c r="A69" s="2">
        <v>1.117</v>
      </c>
      <c r="B69" s="2">
        <v>-0.76400000000000001</v>
      </c>
      <c r="C69" s="2">
        <v>0.95899999999999996</v>
      </c>
    </row>
    <row r="70" spans="1:3" x14ac:dyDescent="0.3">
      <c r="A70" s="2">
        <v>1.133</v>
      </c>
      <c r="B70" s="2">
        <v>-0.80700000000000005</v>
      </c>
      <c r="C70" s="2">
        <v>0.94299999999999995</v>
      </c>
    </row>
    <row r="71" spans="1:3" x14ac:dyDescent="0.3">
      <c r="A71" s="2">
        <v>1.1499999999999999</v>
      </c>
      <c r="B71" s="2">
        <v>-0.69799999999999995</v>
      </c>
      <c r="C71" s="2">
        <v>0.93200000000000005</v>
      </c>
    </row>
    <row r="72" spans="1:3" x14ac:dyDescent="0.3">
      <c r="A72" s="2">
        <v>1.167</v>
      </c>
      <c r="B72" s="2">
        <v>-1.048</v>
      </c>
      <c r="C72" s="2">
        <v>0.92</v>
      </c>
    </row>
    <row r="73" spans="1:3" x14ac:dyDescent="0.3">
      <c r="A73" s="2">
        <v>1.1830000000000001</v>
      </c>
      <c r="B73" s="2">
        <v>-0.98199999999999998</v>
      </c>
      <c r="C73" s="2">
        <v>0.89700000000000002</v>
      </c>
    </row>
    <row r="74" spans="1:3" x14ac:dyDescent="0.3">
      <c r="A74" s="2">
        <v>1.2</v>
      </c>
      <c r="B74" s="2">
        <v>-0.69799999999999995</v>
      </c>
      <c r="C74" s="2">
        <v>0.88700000000000001</v>
      </c>
    </row>
    <row r="75" spans="1:3" x14ac:dyDescent="0.3">
      <c r="A75" s="2">
        <v>1.2170000000000001</v>
      </c>
      <c r="B75" s="2">
        <v>-0.91700000000000004</v>
      </c>
      <c r="C75" s="2">
        <v>0.874</v>
      </c>
    </row>
    <row r="76" spans="1:3" x14ac:dyDescent="0.3">
      <c r="A76" s="2">
        <v>1.2330000000000001</v>
      </c>
      <c r="B76" s="2">
        <v>-0.93799999999999994</v>
      </c>
      <c r="C76" s="2">
        <v>0.85599999999999998</v>
      </c>
    </row>
    <row r="77" spans="1:3" x14ac:dyDescent="0.3">
      <c r="A77" s="2">
        <v>1.25</v>
      </c>
      <c r="B77" s="2">
        <v>-0.82899999999999996</v>
      </c>
      <c r="C77" s="2">
        <v>0.84299999999999997</v>
      </c>
    </row>
    <row r="78" spans="1:3" x14ac:dyDescent="0.3">
      <c r="A78" s="2">
        <v>1.2669999999999999</v>
      </c>
      <c r="B78" s="2">
        <v>-1.026</v>
      </c>
      <c r="C78" s="2">
        <v>0.82899999999999996</v>
      </c>
    </row>
    <row r="79" spans="1:3" x14ac:dyDescent="0.3">
      <c r="A79" s="2">
        <v>1.2829999999999999</v>
      </c>
      <c r="B79" s="2">
        <v>-1.091</v>
      </c>
      <c r="C79" s="2">
        <v>0.80800000000000005</v>
      </c>
    </row>
    <row r="80" spans="1:3" x14ac:dyDescent="0.3">
      <c r="A80" s="2">
        <v>1.3</v>
      </c>
      <c r="B80" s="2">
        <v>-1.375</v>
      </c>
      <c r="C80" s="2">
        <v>0.79200000000000004</v>
      </c>
    </row>
    <row r="81" spans="1:3" x14ac:dyDescent="0.3">
      <c r="A81" s="2">
        <v>1.3169999999999999</v>
      </c>
      <c r="B81" s="2">
        <v>-1.113</v>
      </c>
      <c r="C81" s="2">
        <v>0.76300000000000001</v>
      </c>
    </row>
    <row r="82" spans="1:3" x14ac:dyDescent="0.3">
      <c r="A82" s="2">
        <v>1.333</v>
      </c>
      <c r="B82" s="2">
        <v>-0.54600000000000004</v>
      </c>
      <c r="C82" s="2">
        <v>0.755</v>
      </c>
    </row>
    <row r="83" spans="1:3" x14ac:dyDescent="0.3">
      <c r="A83" s="2">
        <v>1.35</v>
      </c>
      <c r="B83" s="2">
        <v>-0.67700000000000005</v>
      </c>
      <c r="C83" s="2">
        <v>0.74399999999999999</v>
      </c>
    </row>
    <row r="84" spans="1:3" x14ac:dyDescent="0.3">
      <c r="A84" s="2">
        <v>1.367</v>
      </c>
      <c r="B84" s="2">
        <v>-0.61099999999999999</v>
      </c>
      <c r="C84" s="2">
        <v>0.73299999999999998</v>
      </c>
    </row>
    <row r="85" spans="1:3" x14ac:dyDescent="0.3">
      <c r="A85" s="2">
        <v>1.383</v>
      </c>
      <c r="B85" s="2">
        <v>-0.45800000000000002</v>
      </c>
      <c r="C85" s="2">
        <v>0.72399999999999998</v>
      </c>
    </row>
    <row r="86" spans="1:3" x14ac:dyDescent="0.3">
      <c r="A86" s="2">
        <v>1.4</v>
      </c>
      <c r="B86" s="2">
        <v>-0.371</v>
      </c>
      <c r="C86" s="2">
        <v>0.71799999999999997</v>
      </c>
    </row>
    <row r="87" spans="1:3" x14ac:dyDescent="0.3">
      <c r="A87" s="2">
        <v>1.417</v>
      </c>
      <c r="B87" s="2">
        <v>-0.61099999999999999</v>
      </c>
      <c r="C87" s="2">
        <v>0.71199999999999997</v>
      </c>
    </row>
    <row r="88" spans="1:3" x14ac:dyDescent="0.3">
      <c r="A88" s="2">
        <v>1.4330000000000001</v>
      </c>
      <c r="B88" s="2">
        <v>-0.91700000000000004</v>
      </c>
      <c r="C88" s="2">
        <v>0.69699999999999995</v>
      </c>
    </row>
    <row r="89" spans="1:3" x14ac:dyDescent="0.3">
      <c r="A89" s="2">
        <v>1.45</v>
      </c>
      <c r="B89" s="2">
        <v>-0.93799999999999994</v>
      </c>
      <c r="C89" s="2">
        <v>0.68100000000000005</v>
      </c>
    </row>
    <row r="90" spans="1:3" x14ac:dyDescent="0.3">
      <c r="A90" s="2">
        <v>1.4670000000000001</v>
      </c>
      <c r="B90" s="2">
        <v>-0.82899999999999996</v>
      </c>
      <c r="C90" s="2">
        <v>0.66600000000000004</v>
      </c>
    </row>
    <row r="91" spans="1:3" x14ac:dyDescent="0.3">
      <c r="A91" s="2">
        <v>1.4830000000000001</v>
      </c>
      <c r="B91" s="2">
        <v>-0.72</v>
      </c>
      <c r="C91" s="2">
        <v>0.65300000000000002</v>
      </c>
    </row>
    <row r="92" spans="1:3" x14ac:dyDescent="0.3">
      <c r="A92" s="2">
        <v>1.5</v>
      </c>
      <c r="B92" s="2">
        <v>-0.74199999999999999</v>
      </c>
      <c r="C92" s="2">
        <v>0.64200000000000002</v>
      </c>
    </row>
    <row r="93" spans="1:3" x14ac:dyDescent="0.3">
      <c r="A93" s="2">
        <v>1.5169999999999999</v>
      </c>
      <c r="B93" s="2">
        <v>-0.78600000000000003</v>
      </c>
      <c r="C93" s="2">
        <v>0.629</v>
      </c>
    </row>
    <row r="94" spans="1:3" x14ac:dyDescent="0.3">
      <c r="A94" s="2">
        <v>1.5329999999999999</v>
      </c>
      <c r="B94" s="2">
        <v>-0.89500000000000002</v>
      </c>
      <c r="C94" s="2">
        <v>0.61599999999999999</v>
      </c>
    </row>
    <row r="95" spans="1:3" x14ac:dyDescent="0.3">
      <c r="A95" s="2">
        <v>1.55</v>
      </c>
      <c r="B95" s="2">
        <v>-0.89500000000000002</v>
      </c>
      <c r="C95" s="2">
        <v>0.59899999999999998</v>
      </c>
    </row>
    <row r="96" spans="1:3" x14ac:dyDescent="0.3">
      <c r="A96" s="2">
        <v>1.5669999999999999</v>
      </c>
      <c r="B96" s="2">
        <v>-0.80700000000000005</v>
      </c>
      <c r="C96" s="2">
        <v>0.58599999999999997</v>
      </c>
    </row>
    <row r="97" spans="1:3" x14ac:dyDescent="0.3">
      <c r="A97" s="2">
        <v>1.583</v>
      </c>
      <c r="B97" s="2">
        <v>-0.74199999999999999</v>
      </c>
      <c r="C97" s="2">
        <v>0.57199999999999995</v>
      </c>
    </row>
    <row r="98" spans="1:3" x14ac:dyDescent="0.3">
      <c r="A98" s="2">
        <v>1.6</v>
      </c>
      <c r="B98" s="2">
        <v>-0.69799999999999995</v>
      </c>
      <c r="C98" s="2">
        <v>0.56100000000000005</v>
      </c>
    </row>
    <row r="99" spans="1:3" x14ac:dyDescent="0.3">
      <c r="A99" s="2">
        <v>1.617</v>
      </c>
      <c r="B99" s="2">
        <v>-1.724</v>
      </c>
      <c r="C99" s="2">
        <v>0.54900000000000004</v>
      </c>
    </row>
    <row r="100" spans="1:3" x14ac:dyDescent="0.3">
      <c r="A100" s="2">
        <v>1.633</v>
      </c>
      <c r="B100" s="2">
        <v>-1.702</v>
      </c>
      <c r="C100" s="2">
        <v>0.504</v>
      </c>
    </row>
    <row r="101" spans="1:3" x14ac:dyDescent="0.3">
      <c r="A101" s="2">
        <v>1.65</v>
      </c>
      <c r="B101" s="2">
        <v>-0.76400000000000001</v>
      </c>
      <c r="C101" s="2">
        <v>0.49199999999999999</v>
      </c>
    </row>
    <row r="102" spans="1:3" x14ac:dyDescent="0.3">
      <c r="A102" s="2">
        <v>1.667</v>
      </c>
      <c r="B102" s="2">
        <v>-0.65500000000000003</v>
      </c>
      <c r="C102" s="2">
        <v>0.47799999999999998</v>
      </c>
    </row>
    <row r="103" spans="1:3" x14ac:dyDescent="0.3">
      <c r="A103" s="2">
        <v>1.6830000000000001</v>
      </c>
      <c r="B103" s="2">
        <v>-0.48</v>
      </c>
      <c r="C103" s="2">
        <v>0.47</v>
      </c>
    </row>
    <row r="104" spans="1:3" x14ac:dyDescent="0.3">
      <c r="A104" s="2">
        <v>1.7</v>
      </c>
      <c r="B104" s="2">
        <v>-0.52400000000000002</v>
      </c>
      <c r="C104" s="2">
        <v>0.46200000000000002</v>
      </c>
    </row>
    <row r="105" spans="1:3" x14ac:dyDescent="0.3">
      <c r="A105" s="2">
        <v>1.7170000000000001</v>
      </c>
      <c r="B105" s="2">
        <v>-0.63300000000000001</v>
      </c>
      <c r="C105" s="2">
        <v>0.45300000000000001</v>
      </c>
    </row>
    <row r="106" spans="1:3" x14ac:dyDescent="0.3">
      <c r="A106" s="2">
        <v>1.7330000000000001</v>
      </c>
      <c r="B106" s="2">
        <v>-0.65500000000000003</v>
      </c>
      <c r="C106" s="2">
        <v>0.441</v>
      </c>
    </row>
    <row r="107" spans="1:3" x14ac:dyDescent="0.3">
      <c r="A107" s="2">
        <v>1.75</v>
      </c>
      <c r="B107" s="2">
        <v>-0.63300000000000001</v>
      </c>
      <c r="C107" s="2">
        <v>0.43099999999999999</v>
      </c>
    </row>
    <row r="108" spans="1:3" x14ac:dyDescent="0.3">
      <c r="A108" s="2">
        <v>1.7669999999999999</v>
      </c>
      <c r="B108" s="2">
        <v>-2.073</v>
      </c>
      <c r="C108" s="2">
        <v>0.42</v>
      </c>
    </row>
    <row r="109" spans="1:3" x14ac:dyDescent="0.3">
      <c r="A109" s="2">
        <v>1.7829999999999999</v>
      </c>
      <c r="B109" s="2">
        <v>-2.117</v>
      </c>
      <c r="C109" s="2">
        <v>0.36199999999999999</v>
      </c>
    </row>
    <row r="110" spans="1:3" x14ac:dyDescent="0.3">
      <c r="A110" s="2">
        <v>1.8</v>
      </c>
      <c r="B110" s="2">
        <v>-0.69799999999999995</v>
      </c>
      <c r="C110" s="2">
        <v>0.34899999999999998</v>
      </c>
    </row>
    <row r="111" spans="1:3" x14ac:dyDescent="0.3">
      <c r="A111" s="2">
        <v>1.8169999999999999</v>
      </c>
      <c r="B111" s="2">
        <v>-0.69799999999999995</v>
      </c>
      <c r="C111" s="2">
        <v>0.33900000000000002</v>
      </c>
    </row>
    <row r="112" spans="1:3" x14ac:dyDescent="0.3">
      <c r="A112" s="2">
        <v>1.833</v>
      </c>
      <c r="B112" s="2">
        <v>-0.65500000000000003</v>
      </c>
      <c r="C112" s="2">
        <v>0.32600000000000001</v>
      </c>
    </row>
    <row r="113" spans="1:3" x14ac:dyDescent="0.3">
      <c r="A113" s="2">
        <v>1.85</v>
      </c>
      <c r="B113" s="2">
        <v>-0.52400000000000002</v>
      </c>
      <c r="C113" s="2">
        <v>0.317</v>
      </c>
    </row>
    <row r="114" spans="1:3" x14ac:dyDescent="0.3">
      <c r="A114" s="2">
        <v>1.867</v>
      </c>
      <c r="B114" s="2">
        <v>-0.54600000000000004</v>
      </c>
      <c r="C114" s="2">
        <v>0.309</v>
      </c>
    </row>
    <row r="115" spans="1:3" x14ac:dyDescent="0.3">
      <c r="A115" s="2">
        <v>1.883</v>
      </c>
      <c r="B115" s="2">
        <v>-0.61099999999999999</v>
      </c>
      <c r="C115" s="2">
        <v>0.29899999999999999</v>
      </c>
    </row>
    <row r="116" spans="1:3" x14ac:dyDescent="0.3">
      <c r="A116" s="2">
        <v>1.9</v>
      </c>
      <c r="B116" s="2">
        <v>-0.82899999999999996</v>
      </c>
      <c r="C116" s="2">
        <v>0.28799999999999998</v>
      </c>
    </row>
    <row r="117" spans="1:3" x14ac:dyDescent="0.3">
      <c r="A117" s="2">
        <v>1.917</v>
      </c>
      <c r="B117" s="2">
        <v>-0.69799999999999995</v>
      </c>
      <c r="C117" s="2">
        <v>0.27100000000000002</v>
      </c>
    </row>
    <row r="118" spans="1:3" x14ac:dyDescent="0.3">
      <c r="A118" s="2">
        <v>1.9330000000000001</v>
      </c>
      <c r="B118" s="2">
        <v>-0.371</v>
      </c>
      <c r="C118" s="2">
        <v>0.26500000000000001</v>
      </c>
    </row>
    <row r="119" spans="1:3" x14ac:dyDescent="0.3">
      <c r="A119" s="2">
        <v>1.95</v>
      </c>
      <c r="B119" s="2">
        <v>-0.52400000000000002</v>
      </c>
      <c r="C119" s="2">
        <v>0.25800000000000001</v>
      </c>
    </row>
    <row r="120" spans="1:3" x14ac:dyDescent="0.3">
      <c r="A120" s="2">
        <v>1.9670000000000001</v>
      </c>
      <c r="B120" s="2">
        <v>-0.58899999999999997</v>
      </c>
      <c r="C120" s="2">
        <v>0.248</v>
      </c>
    </row>
    <row r="121" spans="1:3" x14ac:dyDescent="0.3">
      <c r="A121" s="2">
        <v>1.9830000000000001</v>
      </c>
      <c r="B121" s="2">
        <v>-0.69799999999999995</v>
      </c>
      <c r="C121" s="2">
        <v>0.23899999999999999</v>
      </c>
    </row>
    <row r="122" spans="1:3" x14ac:dyDescent="0.3">
      <c r="A122" s="2">
        <v>2</v>
      </c>
      <c r="B122" s="2">
        <v>-1.288</v>
      </c>
      <c r="C122" s="2">
        <v>0.224</v>
      </c>
    </row>
    <row r="123" spans="1:3" x14ac:dyDescent="0.3">
      <c r="A123" s="2">
        <v>2.0169999999999999</v>
      </c>
      <c r="B123" s="2">
        <v>-1.353</v>
      </c>
      <c r="C123" s="2">
        <v>0.19600000000000001</v>
      </c>
    </row>
    <row r="124" spans="1:3" x14ac:dyDescent="0.3">
      <c r="A124" s="2">
        <v>2.0329999999999999</v>
      </c>
      <c r="B124" s="2">
        <v>-0.85099999999999998</v>
      </c>
      <c r="C124" s="2">
        <v>0.17899999999999999</v>
      </c>
    </row>
    <row r="125" spans="1:3" x14ac:dyDescent="0.3">
      <c r="A125" s="2">
        <v>2.0499999999999998</v>
      </c>
      <c r="B125" s="2">
        <v>-0.69799999999999995</v>
      </c>
      <c r="C125" s="2">
        <v>0.16800000000000001</v>
      </c>
    </row>
    <row r="126" spans="1:3" x14ac:dyDescent="0.3">
      <c r="A126" s="2">
        <v>2.0670000000000002</v>
      </c>
      <c r="B126" s="2">
        <v>-0.67700000000000005</v>
      </c>
      <c r="C126" s="2">
        <v>0.156</v>
      </c>
    </row>
    <row r="127" spans="1:3" x14ac:dyDescent="0.3">
      <c r="A127" s="2">
        <v>2.0830000000000002</v>
      </c>
      <c r="B127" s="2">
        <v>-0.58899999999999997</v>
      </c>
      <c r="C127" s="2">
        <v>0.14499999999999999</v>
      </c>
    </row>
    <row r="128" spans="1:3" x14ac:dyDescent="0.3">
      <c r="A128" s="2">
        <v>2.1</v>
      </c>
      <c r="B128" s="2">
        <v>-0.502</v>
      </c>
      <c r="C128" s="2">
        <v>0.13600000000000001</v>
      </c>
    </row>
    <row r="129" spans="1:3" x14ac:dyDescent="0.3">
      <c r="A129" s="2">
        <v>2.117</v>
      </c>
      <c r="B129" s="2">
        <v>-0.48</v>
      </c>
      <c r="C129" s="2">
        <v>0.128</v>
      </c>
    </row>
    <row r="130" spans="1:3" x14ac:dyDescent="0.3">
      <c r="A130" s="2">
        <v>2.133</v>
      </c>
      <c r="B130" s="2">
        <v>-0.58899999999999997</v>
      </c>
      <c r="C130" s="2">
        <v>0.12</v>
      </c>
    </row>
    <row r="131" spans="1:3" x14ac:dyDescent="0.3">
      <c r="A131" s="2">
        <v>2.15</v>
      </c>
      <c r="B131" s="2">
        <v>-0.873</v>
      </c>
      <c r="C131" s="2">
        <v>0.109</v>
      </c>
    </row>
    <row r="132" spans="1:3" x14ac:dyDescent="0.3">
      <c r="A132" s="2">
        <v>2.1669999999999998</v>
      </c>
      <c r="B132" s="2">
        <v>-1.026</v>
      </c>
      <c r="C132" s="2">
        <v>9.1179999999999997E-2</v>
      </c>
    </row>
    <row r="133" spans="1:3" x14ac:dyDescent="0.3">
      <c r="A133" s="2">
        <v>2.1829999999999998</v>
      </c>
      <c r="B133" s="2">
        <v>-0.873</v>
      </c>
      <c r="C133" s="2">
        <v>7.4450000000000002E-2</v>
      </c>
    </row>
    <row r="134" spans="1:3" x14ac:dyDescent="0.3">
      <c r="A134" s="2">
        <v>2.2000000000000002</v>
      </c>
      <c r="B134" s="2">
        <v>-0.68600000000000005</v>
      </c>
      <c r="C134" s="2">
        <v>6.2080000000000003E-2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068EA-F239-4446-9F97-4E261B079E75}">
  <dimension ref="A1:H119"/>
  <sheetViews>
    <sheetView workbookViewId="0">
      <selection activeCell="C1" sqref="A1:C1"/>
    </sheetView>
  </sheetViews>
  <sheetFormatPr defaultColWidth="11.19921875" defaultRowHeight="15.6" x14ac:dyDescent="0.3"/>
  <cols>
    <col min="2" max="2" width="19.3984375" customWidth="1"/>
    <col min="7" max="7" width="19.59765625" customWidth="1"/>
  </cols>
  <sheetData>
    <row r="1" spans="1:8" x14ac:dyDescent="0.3">
      <c r="A1" s="1" t="s">
        <v>0</v>
      </c>
      <c r="B1" s="1" t="s">
        <v>11</v>
      </c>
      <c r="C1" s="1" t="s">
        <v>10</v>
      </c>
      <c r="F1" t="s">
        <v>1</v>
      </c>
      <c r="G1" t="s">
        <v>5</v>
      </c>
      <c r="H1" t="s">
        <v>2</v>
      </c>
    </row>
    <row r="2" spans="1:8" x14ac:dyDescent="0.3">
      <c r="A2" s="2">
        <v>0</v>
      </c>
      <c r="B2" s="2">
        <v>0</v>
      </c>
      <c r="C2" s="2">
        <v>2.14</v>
      </c>
      <c r="F2">
        <v>-9.81</v>
      </c>
      <c r="G2" s="2">
        <v>-1.2685</v>
      </c>
      <c r="H2" s="4">
        <f>G2/F2</f>
        <v>0.12930682976554536</v>
      </c>
    </row>
    <row r="3" spans="1:8" x14ac:dyDescent="0.3">
      <c r="A3" s="2">
        <v>1.7000000000000001E-2</v>
      </c>
      <c r="B3" s="2">
        <v>-4.1090000000000002E-2</v>
      </c>
      <c r="C3" s="2">
        <v>2.145</v>
      </c>
      <c r="G3" t="s">
        <v>12</v>
      </c>
    </row>
    <row r="4" spans="1:8" x14ac:dyDescent="0.3">
      <c r="A4" s="2">
        <v>3.3000000000000002E-2</v>
      </c>
      <c r="B4" s="2">
        <v>-0.41099999999999998</v>
      </c>
      <c r="C4" s="2">
        <v>2.1379999999999999</v>
      </c>
    </row>
    <row r="5" spans="1:8" x14ac:dyDescent="0.3">
      <c r="A5" s="2">
        <v>0.05</v>
      </c>
      <c r="B5" s="2">
        <v>-0.45200000000000001</v>
      </c>
      <c r="C5" s="2">
        <v>2.1309999999999998</v>
      </c>
    </row>
    <row r="6" spans="1:8" x14ac:dyDescent="0.3">
      <c r="A6" s="2">
        <v>6.7000000000000004E-2</v>
      </c>
      <c r="B6" s="2">
        <v>-0.41099999999999998</v>
      </c>
      <c r="C6" s="2">
        <v>2.1230000000000002</v>
      </c>
    </row>
    <row r="7" spans="1:8" x14ac:dyDescent="0.3">
      <c r="A7" s="2">
        <v>8.3000000000000004E-2</v>
      </c>
      <c r="B7" s="2">
        <v>-0.41099999999999998</v>
      </c>
      <c r="C7" s="2">
        <v>2.1179999999999999</v>
      </c>
    </row>
    <row r="8" spans="1:8" x14ac:dyDescent="0.3">
      <c r="A8" s="2">
        <v>0.1</v>
      </c>
      <c r="B8" s="2">
        <v>-0.32900000000000001</v>
      </c>
      <c r="C8" s="2">
        <v>2.11</v>
      </c>
    </row>
    <row r="9" spans="1:8" x14ac:dyDescent="0.3">
      <c r="A9" s="2">
        <v>0.11700000000000001</v>
      </c>
      <c r="B9" s="2">
        <v>-0.41099999999999998</v>
      </c>
      <c r="C9" s="2">
        <v>2.1070000000000002</v>
      </c>
    </row>
    <row r="10" spans="1:8" x14ac:dyDescent="0.3">
      <c r="A10" s="2">
        <v>0.13300000000000001</v>
      </c>
      <c r="B10" s="2">
        <v>-0.61599999999999999</v>
      </c>
      <c r="C10" s="2">
        <v>2.0960000000000001</v>
      </c>
    </row>
    <row r="11" spans="1:8" x14ac:dyDescent="0.3">
      <c r="A11" s="2">
        <v>0.15</v>
      </c>
      <c r="B11" s="2">
        <v>-0.53400000000000003</v>
      </c>
      <c r="C11" s="2">
        <v>2.0859999999999999</v>
      </c>
    </row>
    <row r="12" spans="1:8" x14ac:dyDescent="0.3">
      <c r="A12" s="2">
        <v>0.16700000000000001</v>
      </c>
      <c r="B12" s="2">
        <v>-0.82199999999999995</v>
      </c>
      <c r="C12" s="2">
        <v>2.0779999999999998</v>
      </c>
    </row>
    <row r="13" spans="1:8" x14ac:dyDescent="0.3">
      <c r="A13" s="2">
        <v>0.183</v>
      </c>
      <c r="B13" s="2">
        <v>-1.0680000000000001</v>
      </c>
      <c r="C13" s="2">
        <v>2.0590000000000002</v>
      </c>
    </row>
    <row r="14" spans="1:8" x14ac:dyDescent="0.3">
      <c r="A14" s="2">
        <v>0.2</v>
      </c>
      <c r="B14" s="2">
        <v>-0.86299999999999999</v>
      </c>
      <c r="C14" s="2">
        <v>2.0419999999999998</v>
      </c>
    </row>
    <row r="15" spans="1:8" x14ac:dyDescent="0.3">
      <c r="A15" s="2">
        <v>0.217</v>
      </c>
      <c r="B15" s="2">
        <v>-0.69899999999999995</v>
      </c>
      <c r="C15" s="2">
        <v>2.0299999999999998</v>
      </c>
    </row>
    <row r="16" spans="1:8" x14ac:dyDescent="0.3">
      <c r="A16" s="2">
        <v>0.23300000000000001</v>
      </c>
      <c r="B16" s="2">
        <v>-0.90400000000000003</v>
      </c>
      <c r="C16" s="2">
        <v>2.0190000000000001</v>
      </c>
    </row>
    <row r="17" spans="1:3" x14ac:dyDescent="0.3">
      <c r="A17" s="2">
        <v>0.25</v>
      </c>
      <c r="B17" s="2">
        <v>-1.2330000000000001</v>
      </c>
      <c r="C17" s="2">
        <v>2</v>
      </c>
    </row>
    <row r="18" spans="1:3" x14ac:dyDescent="0.3">
      <c r="A18" s="2">
        <v>0.26700000000000002</v>
      </c>
      <c r="B18" s="2">
        <v>-1.151</v>
      </c>
      <c r="C18" s="2">
        <v>1.978</v>
      </c>
    </row>
    <row r="19" spans="1:3" x14ac:dyDescent="0.3">
      <c r="A19" s="2">
        <v>0.28299999999999997</v>
      </c>
      <c r="B19" s="2">
        <v>-0.94499999999999995</v>
      </c>
      <c r="C19" s="2">
        <v>1.962</v>
      </c>
    </row>
    <row r="20" spans="1:3" x14ac:dyDescent="0.3">
      <c r="A20" s="2">
        <v>0.3</v>
      </c>
      <c r="B20" s="2">
        <v>-0.86299999999999999</v>
      </c>
      <c r="C20" s="2">
        <v>1.9470000000000001</v>
      </c>
    </row>
    <row r="21" spans="1:3" x14ac:dyDescent="0.3">
      <c r="A21" s="2">
        <v>0.317</v>
      </c>
      <c r="B21" s="2">
        <v>-0.94499999999999995</v>
      </c>
      <c r="C21" s="2">
        <v>1.9330000000000001</v>
      </c>
    </row>
    <row r="22" spans="1:3" x14ac:dyDescent="0.3">
      <c r="A22" s="2">
        <v>0.33300000000000002</v>
      </c>
      <c r="B22" s="2">
        <v>-1.0269999999999999</v>
      </c>
      <c r="C22" s="2">
        <v>1.915</v>
      </c>
    </row>
    <row r="23" spans="1:3" x14ac:dyDescent="0.3">
      <c r="A23" s="2">
        <v>0.35</v>
      </c>
      <c r="B23" s="2">
        <v>-1.1919999999999999</v>
      </c>
      <c r="C23" s="2">
        <v>1.899</v>
      </c>
    </row>
    <row r="24" spans="1:3" x14ac:dyDescent="0.3">
      <c r="A24" s="2">
        <v>0.36699999999999999</v>
      </c>
      <c r="B24" s="2">
        <v>-1.1919999999999999</v>
      </c>
      <c r="C24" s="2">
        <v>1.875</v>
      </c>
    </row>
    <row r="25" spans="1:3" x14ac:dyDescent="0.3">
      <c r="A25" s="2">
        <v>0.38300000000000001</v>
      </c>
      <c r="B25" s="2">
        <v>-1.0680000000000001</v>
      </c>
      <c r="C25" s="2">
        <v>1.859</v>
      </c>
    </row>
    <row r="26" spans="1:3" x14ac:dyDescent="0.3">
      <c r="A26" s="2">
        <v>0.4</v>
      </c>
      <c r="B26" s="2">
        <v>-1.274</v>
      </c>
      <c r="C26" s="2">
        <v>1.84</v>
      </c>
    </row>
    <row r="27" spans="1:3" x14ac:dyDescent="0.3">
      <c r="A27" s="2">
        <v>0.41699999999999998</v>
      </c>
      <c r="B27" s="2">
        <v>-1.3560000000000001</v>
      </c>
      <c r="C27" s="2">
        <v>1.8160000000000001</v>
      </c>
    </row>
    <row r="28" spans="1:3" x14ac:dyDescent="0.3">
      <c r="A28" s="2">
        <v>0.433</v>
      </c>
      <c r="B28" s="2">
        <v>-1.3149999999999999</v>
      </c>
      <c r="C28" s="2">
        <v>1.7949999999999999</v>
      </c>
    </row>
    <row r="29" spans="1:3" x14ac:dyDescent="0.3">
      <c r="A29" s="2">
        <v>0.45</v>
      </c>
      <c r="B29" s="2">
        <v>-1.3149999999999999</v>
      </c>
      <c r="C29" s="2">
        <v>1.7729999999999999</v>
      </c>
    </row>
    <row r="30" spans="1:3" x14ac:dyDescent="0.3">
      <c r="A30" s="2">
        <v>0.46700000000000003</v>
      </c>
      <c r="B30" s="2">
        <v>-1.274</v>
      </c>
      <c r="C30" s="2">
        <v>1.7509999999999999</v>
      </c>
    </row>
    <row r="31" spans="1:3" x14ac:dyDescent="0.3">
      <c r="A31" s="2">
        <v>0.48299999999999998</v>
      </c>
      <c r="B31" s="2">
        <v>-1.052</v>
      </c>
      <c r="C31" s="2">
        <v>1.73</v>
      </c>
    </row>
    <row r="32" spans="1:3" x14ac:dyDescent="0.3">
      <c r="A32" s="2">
        <v>0.5</v>
      </c>
      <c r="B32" s="2">
        <v>-0.66800000000000004</v>
      </c>
      <c r="C32" s="2">
        <v>1.716</v>
      </c>
    </row>
    <row r="33" spans="1:3" x14ac:dyDescent="0.3">
      <c r="A33" s="2">
        <v>0.51700000000000002</v>
      </c>
      <c r="B33" s="2">
        <v>-0.77700000000000002</v>
      </c>
      <c r="C33" s="2">
        <v>1.708</v>
      </c>
    </row>
    <row r="34" spans="1:3" x14ac:dyDescent="0.3">
      <c r="A34" s="2">
        <v>0.53300000000000003</v>
      </c>
      <c r="B34" s="2">
        <v>-1.2430000000000001</v>
      </c>
      <c r="C34" s="2">
        <v>1.69</v>
      </c>
    </row>
    <row r="35" spans="1:3" x14ac:dyDescent="0.3">
      <c r="A35" s="2">
        <v>0.55000000000000004</v>
      </c>
      <c r="B35" s="2">
        <v>-1.3979999999999999</v>
      </c>
      <c r="C35" s="2">
        <v>1.6659999999999999</v>
      </c>
    </row>
    <row r="36" spans="1:3" x14ac:dyDescent="0.3">
      <c r="A36" s="2">
        <v>0.56699999999999995</v>
      </c>
      <c r="B36" s="2">
        <v>-1.528</v>
      </c>
      <c r="C36" s="2">
        <v>1.643</v>
      </c>
    </row>
    <row r="37" spans="1:3" x14ac:dyDescent="0.3">
      <c r="A37" s="2">
        <v>0.58299999999999996</v>
      </c>
      <c r="B37" s="2">
        <v>-1.476</v>
      </c>
      <c r="C37" s="2">
        <v>1.6160000000000001</v>
      </c>
    </row>
    <row r="38" spans="1:3" x14ac:dyDescent="0.3">
      <c r="A38" s="2">
        <v>0.6</v>
      </c>
      <c r="B38" s="2">
        <v>-1.3979999999999999</v>
      </c>
      <c r="C38" s="2">
        <v>1.5940000000000001</v>
      </c>
    </row>
    <row r="39" spans="1:3" x14ac:dyDescent="0.3">
      <c r="A39" s="2">
        <v>0.61699999999999999</v>
      </c>
      <c r="B39" s="2">
        <v>-1.4239999999999999</v>
      </c>
      <c r="C39" s="2">
        <v>1.569</v>
      </c>
    </row>
    <row r="40" spans="1:3" x14ac:dyDescent="0.3">
      <c r="A40" s="2">
        <v>0.63300000000000001</v>
      </c>
      <c r="B40" s="2">
        <v>-1.4239999999999999</v>
      </c>
      <c r="C40" s="2">
        <v>1.546</v>
      </c>
    </row>
    <row r="41" spans="1:3" x14ac:dyDescent="0.3">
      <c r="A41" s="2">
        <v>0.65</v>
      </c>
      <c r="B41" s="2">
        <v>-1.32</v>
      </c>
      <c r="C41" s="2">
        <v>1.5209999999999999</v>
      </c>
    </row>
    <row r="42" spans="1:3" x14ac:dyDescent="0.3">
      <c r="A42" s="2">
        <v>0.66700000000000004</v>
      </c>
      <c r="B42" s="2">
        <v>-1.4239999999999999</v>
      </c>
      <c r="C42" s="2">
        <v>1.502</v>
      </c>
    </row>
    <row r="43" spans="1:3" x14ac:dyDescent="0.3">
      <c r="A43" s="2">
        <v>0.68300000000000005</v>
      </c>
      <c r="B43" s="2">
        <v>-1.528</v>
      </c>
      <c r="C43" s="2">
        <v>1.474</v>
      </c>
    </row>
    <row r="44" spans="1:3" x14ac:dyDescent="0.3">
      <c r="A44" s="2">
        <v>0.7</v>
      </c>
      <c r="B44" s="2">
        <v>-1.3460000000000001</v>
      </c>
      <c r="C44" s="2">
        <v>1.452</v>
      </c>
    </row>
    <row r="45" spans="1:3" x14ac:dyDescent="0.3">
      <c r="A45" s="2">
        <v>0.71699999999999997</v>
      </c>
      <c r="B45" s="2">
        <v>-1.476</v>
      </c>
      <c r="C45" s="2">
        <v>1.429</v>
      </c>
    </row>
    <row r="46" spans="1:3" x14ac:dyDescent="0.3">
      <c r="A46" s="2">
        <v>0.73299999999999998</v>
      </c>
      <c r="B46" s="2">
        <v>-1.5529999999999999</v>
      </c>
      <c r="C46" s="2">
        <v>1.4019999999999999</v>
      </c>
    </row>
    <row r="47" spans="1:3" x14ac:dyDescent="0.3">
      <c r="A47" s="2">
        <v>0.75</v>
      </c>
      <c r="B47" s="2">
        <v>-1.476</v>
      </c>
      <c r="C47" s="2">
        <v>1.377</v>
      </c>
    </row>
    <row r="48" spans="1:3" x14ac:dyDescent="0.3">
      <c r="A48" s="2">
        <v>0.76700000000000002</v>
      </c>
      <c r="B48" s="2">
        <v>-1.4239999999999999</v>
      </c>
      <c r="C48" s="2">
        <v>1.353</v>
      </c>
    </row>
    <row r="49" spans="1:3" x14ac:dyDescent="0.3">
      <c r="A49" s="2">
        <v>0.78300000000000003</v>
      </c>
      <c r="B49" s="2">
        <v>-1.45</v>
      </c>
      <c r="C49" s="2">
        <v>1.33</v>
      </c>
    </row>
    <row r="50" spans="1:3" x14ac:dyDescent="0.3">
      <c r="A50" s="2">
        <v>0.8</v>
      </c>
      <c r="B50" s="2">
        <v>-1.5529999999999999</v>
      </c>
      <c r="C50" s="2">
        <v>1.3049999999999999</v>
      </c>
    </row>
    <row r="51" spans="1:3" x14ac:dyDescent="0.3">
      <c r="A51" s="2">
        <v>0.81699999999999995</v>
      </c>
      <c r="B51" s="2">
        <v>-1.603</v>
      </c>
      <c r="C51" s="2">
        <v>1.278</v>
      </c>
    </row>
    <row r="52" spans="1:3" x14ac:dyDescent="0.3">
      <c r="A52" s="2">
        <v>0.83499999999999996</v>
      </c>
      <c r="B52" s="2">
        <v>-1.6519999999999999</v>
      </c>
      <c r="C52" s="2">
        <v>1.2490000000000001</v>
      </c>
    </row>
    <row r="53" spans="1:3" x14ac:dyDescent="0.3">
      <c r="A53" s="2">
        <v>0.85199999999999998</v>
      </c>
      <c r="B53" s="2">
        <v>-1.3720000000000001</v>
      </c>
      <c r="C53" s="2">
        <v>1.22</v>
      </c>
    </row>
    <row r="54" spans="1:3" x14ac:dyDescent="0.3">
      <c r="A54" s="2">
        <v>0.86799999999999999</v>
      </c>
      <c r="B54" s="2">
        <v>-1.2430000000000001</v>
      </c>
      <c r="C54" s="2">
        <v>1.2030000000000001</v>
      </c>
    </row>
    <row r="55" spans="1:3" x14ac:dyDescent="0.3">
      <c r="A55" s="2">
        <v>0.88500000000000001</v>
      </c>
      <c r="B55" s="2">
        <v>-1.4239999999999999</v>
      </c>
      <c r="C55" s="2">
        <v>1.179</v>
      </c>
    </row>
    <row r="56" spans="1:3" x14ac:dyDescent="0.3">
      <c r="A56" s="2">
        <v>0.90200000000000002</v>
      </c>
      <c r="B56" s="2">
        <v>-1.3720000000000001</v>
      </c>
      <c r="C56" s="2">
        <v>1.1559999999999999</v>
      </c>
    </row>
    <row r="57" spans="1:3" x14ac:dyDescent="0.3">
      <c r="A57" s="2">
        <v>0.91800000000000004</v>
      </c>
      <c r="B57" s="2">
        <v>-1.4239999999999999</v>
      </c>
      <c r="C57" s="2">
        <v>1.133</v>
      </c>
    </row>
    <row r="58" spans="1:3" x14ac:dyDescent="0.3">
      <c r="A58" s="2">
        <v>0.93500000000000005</v>
      </c>
      <c r="B58" s="2">
        <v>-1.528</v>
      </c>
      <c r="C58" s="2">
        <v>1.1080000000000001</v>
      </c>
    </row>
    <row r="59" spans="1:3" x14ac:dyDescent="0.3">
      <c r="A59" s="2">
        <v>0.95199999999999996</v>
      </c>
      <c r="B59" s="2">
        <v>-1.45</v>
      </c>
      <c r="C59" s="2">
        <v>1.0820000000000001</v>
      </c>
    </row>
    <row r="60" spans="1:3" x14ac:dyDescent="0.3">
      <c r="A60" s="2">
        <v>0.96799999999999997</v>
      </c>
      <c r="B60" s="2">
        <v>-1.45</v>
      </c>
      <c r="C60" s="2">
        <v>1.06</v>
      </c>
    </row>
    <row r="61" spans="1:3" x14ac:dyDescent="0.3">
      <c r="A61" s="2">
        <v>0.98499999999999999</v>
      </c>
      <c r="B61" s="2">
        <v>-1.1910000000000001</v>
      </c>
      <c r="C61" s="2">
        <v>1.034</v>
      </c>
    </row>
    <row r="62" spans="1:3" x14ac:dyDescent="0.3">
      <c r="A62" s="2">
        <v>1.002</v>
      </c>
      <c r="B62" s="2">
        <v>-1.036</v>
      </c>
      <c r="C62" s="2">
        <v>1.02</v>
      </c>
    </row>
    <row r="63" spans="1:3" x14ac:dyDescent="0.3">
      <c r="A63" s="2">
        <v>1.018</v>
      </c>
      <c r="B63" s="2">
        <v>-1.01</v>
      </c>
      <c r="C63" s="2">
        <v>0.999</v>
      </c>
    </row>
    <row r="64" spans="1:3" x14ac:dyDescent="0.3">
      <c r="A64" s="2">
        <v>1.0349999999999999</v>
      </c>
      <c r="B64" s="2">
        <v>-0.88</v>
      </c>
      <c r="C64" s="2">
        <v>0.98599999999999999</v>
      </c>
    </row>
    <row r="65" spans="1:3" x14ac:dyDescent="0.3">
      <c r="A65" s="2">
        <v>1.052</v>
      </c>
      <c r="B65" s="2">
        <v>-1.036</v>
      </c>
      <c r="C65" s="2">
        <v>0.97</v>
      </c>
    </row>
    <row r="66" spans="1:3" x14ac:dyDescent="0.3">
      <c r="A66" s="2">
        <v>1.0680000000000001</v>
      </c>
      <c r="B66" s="2">
        <v>-0.88</v>
      </c>
      <c r="C66" s="2">
        <v>0.95199999999999996</v>
      </c>
    </row>
    <row r="67" spans="1:3" x14ac:dyDescent="0.3">
      <c r="A67" s="2">
        <v>1.085</v>
      </c>
      <c r="B67" s="2">
        <v>-1.165</v>
      </c>
      <c r="C67" s="2">
        <v>0.94099999999999995</v>
      </c>
    </row>
    <row r="68" spans="1:3" x14ac:dyDescent="0.3">
      <c r="A68" s="2">
        <v>1.1020000000000001</v>
      </c>
      <c r="B68" s="2">
        <v>-1.3460000000000001</v>
      </c>
      <c r="C68" s="2">
        <v>0.91300000000000003</v>
      </c>
    </row>
    <row r="69" spans="1:3" x14ac:dyDescent="0.3">
      <c r="A69" s="2">
        <v>1.1180000000000001</v>
      </c>
      <c r="B69" s="2">
        <v>-1.139</v>
      </c>
      <c r="C69" s="2">
        <v>0.89600000000000002</v>
      </c>
    </row>
    <row r="70" spans="1:3" x14ac:dyDescent="0.3">
      <c r="A70" s="2">
        <v>1.135</v>
      </c>
      <c r="B70" s="2">
        <v>-1.139</v>
      </c>
      <c r="C70" s="2">
        <v>0.875</v>
      </c>
    </row>
    <row r="71" spans="1:3" x14ac:dyDescent="0.3">
      <c r="A71" s="2">
        <v>1.1519999999999999</v>
      </c>
      <c r="B71" s="2">
        <v>-1.1910000000000001</v>
      </c>
      <c r="C71" s="2">
        <v>0.85799999999999998</v>
      </c>
    </row>
    <row r="72" spans="1:3" x14ac:dyDescent="0.3">
      <c r="A72" s="2">
        <v>1.1679999999999999</v>
      </c>
      <c r="B72" s="2">
        <v>-1.139</v>
      </c>
      <c r="C72" s="2">
        <v>0.83499999999999996</v>
      </c>
    </row>
    <row r="73" spans="1:3" x14ac:dyDescent="0.3">
      <c r="A73" s="2">
        <v>1.1850000000000001</v>
      </c>
      <c r="B73" s="2">
        <v>-0.90600000000000003</v>
      </c>
      <c r="C73" s="2">
        <v>0.82</v>
      </c>
    </row>
    <row r="74" spans="1:3" x14ac:dyDescent="0.3">
      <c r="A74" s="2">
        <v>1.202</v>
      </c>
      <c r="B74" s="2">
        <v>-0.90600000000000003</v>
      </c>
      <c r="C74" s="2">
        <v>0.80500000000000005</v>
      </c>
    </row>
    <row r="75" spans="1:3" x14ac:dyDescent="0.3">
      <c r="A75" s="2">
        <v>1.218</v>
      </c>
      <c r="B75" s="2">
        <v>-1.01</v>
      </c>
      <c r="C75" s="2">
        <v>0.79</v>
      </c>
    </row>
    <row r="76" spans="1:3" x14ac:dyDescent="0.3">
      <c r="A76" s="2">
        <v>1.2350000000000001</v>
      </c>
      <c r="B76" s="2">
        <v>-1.087</v>
      </c>
      <c r="C76" s="2">
        <v>0.77100000000000002</v>
      </c>
    </row>
    <row r="77" spans="1:3" x14ac:dyDescent="0.3">
      <c r="A77" s="2">
        <v>1.252</v>
      </c>
      <c r="B77" s="2">
        <v>-0.98399999999999999</v>
      </c>
      <c r="C77" s="2">
        <v>0.753</v>
      </c>
    </row>
    <row r="78" spans="1:3" x14ac:dyDescent="0.3">
      <c r="A78" s="2">
        <v>1.268</v>
      </c>
      <c r="B78" s="2">
        <v>-0.88</v>
      </c>
      <c r="C78" s="2">
        <v>0.73899999999999999</v>
      </c>
    </row>
    <row r="79" spans="1:3" x14ac:dyDescent="0.3">
      <c r="A79" s="2">
        <v>1.2849999999999999</v>
      </c>
      <c r="B79" s="2">
        <v>-1.087</v>
      </c>
      <c r="C79" s="2">
        <v>0.72399999999999998</v>
      </c>
    </row>
    <row r="80" spans="1:3" x14ac:dyDescent="0.3">
      <c r="A80" s="2">
        <v>1.302</v>
      </c>
      <c r="B80" s="2">
        <v>-1.3460000000000001</v>
      </c>
      <c r="C80" s="2">
        <v>0.70199999999999996</v>
      </c>
    </row>
    <row r="81" spans="1:3" x14ac:dyDescent="0.3">
      <c r="A81" s="2">
        <v>1.3180000000000001</v>
      </c>
      <c r="B81" s="2">
        <v>-1.6830000000000001</v>
      </c>
      <c r="C81" s="2">
        <v>0.67900000000000005</v>
      </c>
    </row>
    <row r="82" spans="1:3" x14ac:dyDescent="0.3">
      <c r="A82" s="2">
        <v>1.335</v>
      </c>
      <c r="B82" s="2">
        <v>-1.45</v>
      </c>
      <c r="C82" s="2">
        <v>0.64600000000000002</v>
      </c>
    </row>
    <row r="83" spans="1:3" x14ac:dyDescent="0.3">
      <c r="A83" s="2">
        <v>1.3520000000000001</v>
      </c>
      <c r="B83" s="2">
        <v>-0.90600000000000003</v>
      </c>
      <c r="C83" s="2">
        <v>0.63100000000000001</v>
      </c>
    </row>
    <row r="84" spans="1:3" x14ac:dyDescent="0.3">
      <c r="A84" s="2">
        <v>1.3680000000000001</v>
      </c>
      <c r="B84" s="2">
        <v>-1.0620000000000001</v>
      </c>
      <c r="C84" s="2">
        <v>0.61599999999999999</v>
      </c>
    </row>
    <row r="85" spans="1:3" x14ac:dyDescent="0.3">
      <c r="A85" s="2">
        <v>1.385</v>
      </c>
      <c r="B85" s="2">
        <v>-1.165</v>
      </c>
      <c r="C85" s="2">
        <v>0.59499999999999997</v>
      </c>
    </row>
    <row r="86" spans="1:3" x14ac:dyDescent="0.3">
      <c r="A86" s="2">
        <v>1.4019999999999999</v>
      </c>
      <c r="B86" s="2">
        <v>-1.0620000000000001</v>
      </c>
      <c r="C86" s="2">
        <v>0.57699999999999996</v>
      </c>
    </row>
    <row r="87" spans="1:3" x14ac:dyDescent="0.3">
      <c r="A87" s="2">
        <v>1.4179999999999999</v>
      </c>
      <c r="B87" s="2">
        <v>-0.85399999999999998</v>
      </c>
      <c r="C87" s="2">
        <v>0.56000000000000005</v>
      </c>
    </row>
    <row r="88" spans="1:3" x14ac:dyDescent="0.3">
      <c r="A88" s="2">
        <v>1.4350000000000001</v>
      </c>
      <c r="B88" s="2">
        <v>-0.90600000000000003</v>
      </c>
      <c r="C88" s="2">
        <v>0.54900000000000004</v>
      </c>
    </row>
    <row r="89" spans="1:3" x14ac:dyDescent="0.3">
      <c r="A89" s="2">
        <v>1.452</v>
      </c>
      <c r="B89" s="2">
        <v>-1.476</v>
      </c>
      <c r="C89" s="2">
        <v>0.53</v>
      </c>
    </row>
    <row r="90" spans="1:3" x14ac:dyDescent="0.3">
      <c r="A90" s="2">
        <v>1.468</v>
      </c>
      <c r="B90" s="2">
        <v>-1.657</v>
      </c>
      <c r="C90" s="2">
        <v>0.5</v>
      </c>
    </row>
    <row r="91" spans="1:3" x14ac:dyDescent="0.3">
      <c r="A91" s="2">
        <v>1.4850000000000001</v>
      </c>
      <c r="B91" s="2">
        <v>-1.579</v>
      </c>
      <c r="C91" s="2">
        <v>0.47499999999999998</v>
      </c>
    </row>
    <row r="92" spans="1:3" x14ac:dyDescent="0.3">
      <c r="A92" s="2">
        <v>1.502</v>
      </c>
      <c r="B92" s="2">
        <v>-1.2949999999999999</v>
      </c>
      <c r="C92" s="2">
        <v>0.44700000000000001</v>
      </c>
    </row>
    <row r="93" spans="1:3" x14ac:dyDescent="0.3">
      <c r="A93" s="2">
        <v>1.518</v>
      </c>
      <c r="B93" s="2">
        <v>-0.95799999999999996</v>
      </c>
      <c r="C93" s="2">
        <v>0.43099999999999999</v>
      </c>
    </row>
    <row r="94" spans="1:3" x14ac:dyDescent="0.3">
      <c r="A94" s="2">
        <v>1.5349999999999999</v>
      </c>
      <c r="B94" s="2">
        <v>-1.139</v>
      </c>
      <c r="C94" s="2">
        <v>0.41499999999999998</v>
      </c>
    </row>
    <row r="95" spans="1:3" x14ac:dyDescent="0.3">
      <c r="A95" s="2">
        <v>1.552</v>
      </c>
      <c r="B95" s="2">
        <v>-1.113</v>
      </c>
      <c r="C95" s="2">
        <v>0.39300000000000002</v>
      </c>
    </row>
    <row r="96" spans="1:3" x14ac:dyDescent="0.3">
      <c r="A96" s="2">
        <v>1.5680000000000001</v>
      </c>
      <c r="B96" s="2">
        <v>-1.113</v>
      </c>
      <c r="C96" s="2">
        <v>0.378</v>
      </c>
    </row>
    <row r="97" spans="1:3" x14ac:dyDescent="0.3">
      <c r="A97" s="2">
        <v>1.585</v>
      </c>
      <c r="B97" s="2">
        <v>-1.2430000000000001</v>
      </c>
      <c r="C97" s="2">
        <v>0.35599999999999998</v>
      </c>
    </row>
    <row r="98" spans="1:3" x14ac:dyDescent="0.3">
      <c r="A98" s="2">
        <v>1.6020000000000001</v>
      </c>
      <c r="B98" s="2">
        <v>-1.32</v>
      </c>
      <c r="C98" s="2">
        <v>0.33600000000000002</v>
      </c>
    </row>
    <row r="99" spans="1:3" x14ac:dyDescent="0.3">
      <c r="A99" s="2">
        <v>1.6180000000000001</v>
      </c>
      <c r="B99" s="2">
        <v>-1.2949999999999999</v>
      </c>
      <c r="C99" s="2">
        <v>0.312</v>
      </c>
    </row>
    <row r="100" spans="1:3" x14ac:dyDescent="0.3">
      <c r="A100" s="2">
        <v>1.635</v>
      </c>
      <c r="B100" s="2">
        <v>-0.93200000000000005</v>
      </c>
      <c r="C100" s="2">
        <v>0.29299999999999998</v>
      </c>
    </row>
    <row r="101" spans="1:3" x14ac:dyDescent="0.3">
      <c r="A101" s="2">
        <v>1.6519999999999999</v>
      </c>
      <c r="B101" s="2">
        <v>-0.82899999999999996</v>
      </c>
      <c r="C101" s="2">
        <v>0.28100000000000003</v>
      </c>
    </row>
    <row r="102" spans="1:3" x14ac:dyDescent="0.3">
      <c r="A102" s="2">
        <v>1.6679999999999999</v>
      </c>
      <c r="B102" s="2">
        <v>-1.087</v>
      </c>
      <c r="C102" s="2">
        <v>0.26600000000000001</v>
      </c>
    </row>
    <row r="103" spans="1:3" x14ac:dyDescent="0.3">
      <c r="A103" s="2">
        <v>1.6850000000000001</v>
      </c>
      <c r="B103" s="2">
        <v>-1.1910000000000001</v>
      </c>
      <c r="C103" s="2">
        <v>0.245</v>
      </c>
    </row>
    <row r="104" spans="1:3" x14ac:dyDescent="0.3">
      <c r="A104" s="2">
        <v>1.702</v>
      </c>
      <c r="B104" s="2">
        <v>-1.087</v>
      </c>
      <c r="C104" s="2">
        <v>0.22600000000000001</v>
      </c>
    </row>
    <row r="105" spans="1:3" x14ac:dyDescent="0.3">
      <c r="A105" s="2">
        <v>1.718</v>
      </c>
      <c r="B105" s="2">
        <v>-1.087</v>
      </c>
      <c r="C105" s="2">
        <v>0.20899999999999999</v>
      </c>
    </row>
    <row r="106" spans="1:3" x14ac:dyDescent="0.3">
      <c r="A106" s="2">
        <v>1.7350000000000001</v>
      </c>
      <c r="B106" s="2">
        <v>-1.2689999999999999</v>
      </c>
      <c r="C106" s="2">
        <v>0.19</v>
      </c>
    </row>
    <row r="107" spans="1:3" x14ac:dyDescent="0.3">
      <c r="A107" s="2">
        <v>1.752</v>
      </c>
      <c r="B107" s="2">
        <v>-1.3979999999999999</v>
      </c>
      <c r="C107" s="2">
        <v>0.16600000000000001</v>
      </c>
    </row>
    <row r="108" spans="1:3" x14ac:dyDescent="0.3">
      <c r="A108" s="2">
        <v>1.768</v>
      </c>
      <c r="B108" s="2">
        <v>-1.2689999999999999</v>
      </c>
      <c r="C108" s="2">
        <v>0.14299999999999999</v>
      </c>
    </row>
    <row r="109" spans="1:3" x14ac:dyDescent="0.3">
      <c r="A109" s="2">
        <v>1.7849999999999999</v>
      </c>
      <c r="B109" s="2">
        <v>-0.751</v>
      </c>
      <c r="C109" s="2">
        <v>0.124</v>
      </c>
    </row>
    <row r="110" spans="1:3" x14ac:dyDescent="0.3">
      <c r="A110" s="2">
        <v>1.802</v>
      </c>
      <c r="B110" s="2">
        <v>-0.46600000000000003</v>
      </c>
      <c r="C110" s="2">
        <v>0.11799999999999999</v>
      </c>
    </row>
    <row r="111" spans="1:3" x14ac:dyDescent="0.3">
      <c r="A111" s="2">
        <v>1.8180000000000001</v>
      </c>
      <c r="B111" s="2">
        <v>-0.85399999999999998</v>
      </c>
      <c r="C111" s="2">
        <v>0.109</v>
      </c>
    </row>
    <row r="112" spans="1:3" x14ac:dyDescent="0.3">
      <c r="A112" s="2">
        <v>1.835</v>
      </c>
      <c r="B112" s="2">
        <v>-0.98399999999999999</v>
      </c>
      <c r="C112" s="2">
        <v>8.9630000000000001E-2</v>
      </c>
    </row>
    <row r="113" spans="1:3" x14ac:dyDescent="0.3">
      <c r="A113" s="2">
        <v>1.8520000000000001</v>
      </c>
      <c r="B113" s="2">
        <v>-0.88</v>
      </c>
      <c r="C113" s="2">
        <v>7.5819999999999999E-2</v>
      </c>
    </row>
    <row r="114" spans="1:3" x14ac:dyDescent="0.3">
      <c r="A114" s="2">
        <v>1.8680000000000001</v>
      </c>
      <c r="B114" s="2">
        <v>-0.93200000000000005</v>
      </c>
      <c r="C114" s="2">
        <v>6.0290000000000003E-2</v>
      </c>
    </row>
    <row r="115" spans="1:3" x14ac:dyDescent="0.3">
      <c r="A115" s="2">
        <v>1.885</v>
      </c>
      <c r="B115" s="2">
        <v>-0.751</v>
      </c>
      <c r="C115" s="2">
        <v>4.4749999999999998E-2</v>
      </c>
    </row>
    <row r="116" spans="1:3" x14ac:dyDescent="0.3">
      <c r="A116" s="2">
        <v>1.9019999999999999</v>
      </c>
      <c r="B116" s="2">
        <v>-0.41399999999999998</v>
      </c>
      <c r="C116" s="2">
        <v>3.526E-2</v>
      </c>
    </row>
    <row r="117" spans="1:3" x14ac:dyDescent="0.3">
      <c r="A117" s="2">
        <v>1.9179999999999999</v>
      </c>
      <c r="B117" s="2">
        <v>-0.36199999999999999</v>
      </c>
      <c r="C117" s="2">
        <v>3.0939999999999999E-2</v>
      </c>
    </row>
    <row r="118" spans="1:3" x14ac:dyDescent="0.3">
      <c r="A118" s="2">
        <v>1.9350000000000001</v>
      </c>
      <c r="B118" s="2">
        <v>-0.56999999999999995</v>
      </c>
      <c r="C118" s="2">
        <v>2.3179999999999999E-2</v>
      </c>
    </row>
    <row r="119" spans="1:3" x14ac:dyDescent="0.3">
      <c r="A119" s="2">
        <v>1.952</v>
      </c>
      <c r="B119" s="2">
        <v>0</v>
      </c>
      <c r="C119" s="2">
        <v>1.196E-2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928BB-6D7E-B94D-A905-66423CB91C4C}">
  <dimension ref="A1:H78"/>
  <sheetViews>
    <sheetView workbookViewId="0">
      <selection activeCell="C1" sqref="A1:C1"/>
    </sheetView>
  </sheetViews>
  <sheetFormatPr defaultColWidth="11.19921875" defaultRowHeight="15.6" x14ac:dyDescent="0.3"/>
  <cols>
    <col min="2" max="2" width="14.19921875" customWidth="1"/>
    <col min="3" max="3" width="12.796875" customWidth="1"/>
    <col min="7" max="7" width="21.19921875" customWidth="1"/>
    <col min="8" max="8" width="12.3984375" bestFit="1" customWidth="1"/>
  </cols>
  <sheetData>
    <row r="1" spans="1:8" x14ac:dyDescent="0.3">
      <c r="A1" s="1" t="s">
        <v>0</v>
      </c>
      <c r="B1" s="1" t="s">
        <v>11</v>
      </c>
      <c r="C1" s="1" t="s">
        <v>10</v>
      </c>
      <c r="F1" t="s">
        <v>1</v>
      </c>
      <c r="G1" t="s">
        <v>5</v>
      </c>
      <c r="H1" t="s">
        <v>2</v>
      </c>
    </row>
    <row r="2" spans="1:8" x14ac:dyDescent="0.3">
      <c r="A2" s="2" cm="1">
        <f t="array" aca="1" ref="A2" ca="1">A2:C580</f>
        <v>0</v>
      </c>
      <c r="B2" s="2">
        <v>0</v>
      </c>
      <c r="C2" s="2">
        <v>2.2109999999999999</v>
      </c>
      <c r="F2">
        <v>-9.81</v>
      </c>
      <c r="G2">
        <v>-2.08</v>
      </c>
      <c r="H2" s="4">
        <f>G2/F2</f>
        <v>0.21202854230377166</v>
      </c>
    </row>
    <row r="3" spans="1:8" x14ac:dyDescent="0.3">
      <c r="A3" s="2">
        <v>1.7000000000000001E-2</v>
      </c>
      <c r="B3" s="2">
        <v>-0.33800000000000002</v>
      </c>
      <c r="C3" s="2">
        <v>2.2029999999999998</v>
      </c>
      <c r="G3" t="s">
        <v>14</v>
      </c>
    </row>
    <row r="4" spans="1:8" x14ac:dyDescent="0.3">
      <c r="A4" s="2">
        <v>3.3000000000000002E-2</v>
      </c>
      <c r="B4" s="2">
        <v>-0.246</v>
      </c>
      <c r="C4" s="2">
        <v>2.2000000000000002</v>
      </c>
    </row>
    <row r="5" spans="1:8" x14ac:dyDescent="0.3">
      <c r="A5" s="2">
        <v>0.05</v>
      </c>
      <c r="B5" s="2">
        <v>-0.246</v>
      </c>
      <c r="C5" s="2">
        <v>2.1949999999999998</v>
      </c>
    </row>
    <row r="6" spans="1:8" x14ac:dyDescent="0.3">
      <c r="A6" s="2">
        <v>6.7000000000000004E-2</v>
      </c>
      <c r="B6" s="2">
        <v>-0.36899999999999999</v>
      </c>
      <c r="C6" s="2">
        <v>2.1920000000000002</v>
      </c>
    </row>
    <row r="7" spans="1:8" x14ac:dyDescent="0.3">
      <c r="A7" s="2">
        <v>8.3000000000000004E-2</v>
      </c>
      <c r="B7" s="2">
        <v>-0.49199999999999999</v>
      </c>
      <c r="C7" s="2">
        <v>2.1819999999999999</v>
      </c>
    </row>
    <row r="8" spans="1:8" x14ac:dyDescent="0.3">
      <c r="A8" s="2">
        <v>0.1</v>
      </c>
      <c r="B8" s="2">
        <v>-0.70699999999999996</v>
      </c>
      <c r="C8" s="2">
        <v>2.1749999999999998</v>
      </c>
    </row>
    <row r="9" spans="1:8" x14ac:dyDescent="0.3">
      <c r="A9" s="2">
        <v>0.11700000000000001</v>
      </c>
      <c r="B9" s="2">
        <v>-1.0760000000000001</v>
      </c>
      <c r="C9" s="2">
        <v>2.1589999999999998</v>
      </c>
    </row>
    <row r="10" spans="1:8" x14ac:dyDescent="0.3">
      <c r="A10" s="2">
        <v>0.13300000000000001</v>
      </c>
      <c r="B10" s="2">
        <v>-1.0149999999999999</v>
      </c>
      <c r="C10" s="2">
        <v>2.1389999999999998</v>
      </c>
    </row>
    <row r="11" spans="1:8" x14ac:dyDescent="0.3">
      <c r="A11" s="2">
        <v>0.15</v>
      </c>
      <c r="B11" s="2">
        <v>-0.95299999999999996</v>
      </c>
      <c r="C11" s="2">
        <v>2.125</v>
      </c>
    </row>
    <row r="12" spans="1:8" x14ac:dyDescent="0.3">
      <c r="A12" s="2">
        <v>0.16700000000000001</v>
      </c>
      <c r="B12" s="2">
        <v>-1.1379999999999999</v>
      </c>
      <c r="C12" s="2">
        <v>2.1080000000000001</v>
      </c>
    </row>
    <row r="13" spans="1:8" x14ac:dyDescent="0.3">
      <c r="A13" s="2">
        <v>0.183</v>
      </c>
      <c r="B13" s="2">
        <v>-1.476</v>
      </c>
      <c r="C13" s="2">
        <v>2.0870000000000002</v>
      </c>
    </row>
    <row r="14" spans="1:8" x14ac:dyDescent="0.3">
      <c r="A14" s="2">
        <v>0.2</v>
      </c>
      <c r="B14" s="2">
        <v>-1.5069999999999999</v>
      </c>
      <c r="C14" s="2">
        <v>2.0579999999999998</v>
      </c>
    </row>
    <row r="15" spans="1:8" x14ac:dyDescent="0.3">
      <c r="A15" s="2">
        <v>0.217</v>
      </c>
      <c r="B15" s="2">
        <v>-1.292</v>
      </c>
      <c r="C15" s="2">
        <v>2.0369999999999999</v>
      </c>
    </row>
    <row r="16" spans="1:8" x14ac:dyDescent="0.3">
      <c r="A16" s="2">
        <v>0.23300000000000001</v>
      </c>
      <c r="B16" s="2">
        <v>-1.5069999999999999</v>
      </c>
      <c r="C16" s="2">
        <v>2.0150000000000001</v>
      </c>
    </row>
    <row r="17" spans="1:3" x14ac:dyDescent="0.3">
      <c r="A17" s="2">
        <v>0.25</v>
      </c>
      <c r="B17" s="2">
        <v>-1.63</v>
      </c>
      <c r="C17" s="2">
        <v>1.9870000000000001</v>
      </c>
    </row>
    <row r="18" spans="1:3" x14ac:dyDescent="0.3">
      <c r="A18" s="2">
        <v>0.26700000000000002</v>
      </c>
      <c r="B18" s="2">
        <v>-1.599</v>
      </c>
      <c r="C18" s="2">
        <v>1.9610000000000001</v>
      </c>
    </row>
    <row r="19" spans="1:3" x14ac:dyDescent="0.3">
      <c r="A19" s="2">
        <v>0.28299999999999997</v>
      </c>
      <c r="B19" s="2">
        <v>-1.5229999999999999</v>
      </c>
      <c r="C19" s="2">
        <v>1.9330000000000001</v>
      </c>
    </row>
    <row r="20" spans="1:3" x14ac:dyDescent="0.3">
      <c r="A20" s="2">
        <v>0.30199999999999999</v>
      </c>
      <c r="B20" s="2">
        <v>-1.6990000000000001</v>
      </c>
      <c r="C20" s="2">
        <v>1.9079999999999999</v>
      </c>
    </row>
    <row r="21" spans="1:3" x14ac:dyDescent="0.3">
      <c r="A21" s="2">
        <v>0.318</v>
      </c>
      <c r="B21" s="2">
        <v>-1.907</v>
      </c>
      <c r="C21" s="2">
        <v>1.8740000000000001</v>
      </c>
    </row>
    <row r="22" spans="1:3" x14ac:dyDescent="0.3">
      <c r="A22" s="2">
        <v>0.33500000000000002</v>
      </c>
      <c r="B22" s="2">
        <v>-1.63</v>
      </c>
      <c r="C22" s="2">
        <v>1.8440000000000001</v>
      </c>
    </row>
    <row r="23" spans="1:3" x14ac:dyDescent="0.3">
      <c r="A23" s="2">
        <v>0.35199999999999998</v>
      </c>
      <c r="B23" s="2">
        <v>-1.6919999999999999</v>
      </c>
      <c r="C23" s="2">
        <v>1.82</v>
      </c>
    </row>
    <row r="24" spans="1:3" x14ac:dyDescent="0.3">
      <c r="A24" s="2">
        <v>0.36799999999999999</v>
      </c>
      <c r="B24" s="2">
        <v>-1.7529999999999999</v>
      </c>
      <c r="C24" s="2">
        <v>1.788</v>
      </c>
    </row>
    <row r="25" spans="1:3" x14ac:dyDescent="0.3">
      <c r="A25" s="2">
        <v>0.38500000000000001</v>
      </c>
      <c r="B25" s="2">
        <v>-1.8149999999999999</v>
      </c>
      <c r="C25" s="2">
        <v>1.7609999999999999</v>
      </c>
    </row>
    <row r="26" spans="1:3" x14ac:dyDescent="0.3">
      <c r="A26" s="2">
        <v>0.40200000000000002</v>
      </c>
      <c r="B26" s="2">
        <v>-2.0609999999999999</v>
      </c>
      <c r="C26" s="2">
        <v>1.7270000000000001</v>
      </c>
    </row>
    <row r="27" spans="1:3" x14ac:dyDescent="0.3">
      <c r="A27" s="2">
        <v>0.41799999999999998</v>
      </c>
      <c r="B27" s="2">
        <v>-2.0910000000000002</v>
      </c>
      <c r="C27" s="2">
        <v>1.6919999999999999</v>
      </c>
    </row>
    <row r="28" spans="1:3" x14ac:dyDescent="0.3">
      <c r="A28" s="2">
        <v>0.435</v>
      </c>
      <c r="B28" s="2">
        <v>-2.0299999999999998</v>
      </c>
      <c r="C28" s="2">
        <v>1.6579999999999999</v>
      </c>
    </row>
    <row r="29" spans="1:3" x14ac:dyDescent="0.3">
      <c r="A29" s="2">
        <v>0.45200000000000001</v>
      </c>
      <c r="B29" s="2">
        <v>-2.399</v>
      </c>
      <c r="C29" s="2">
        <v>1.625</v>
      </c>
    </row>
    <row r="30" spans="1:3" x14ac:dyDescent="0.3">
      <c r="A30" s="2">
        <v>0.46800000000000003</v>
      </c>
      <c r="B30" s="2">
        <v>-2.4910000000000001</v>
      </c>
      <c r="C30" s="2">
        <v>1.5780000000000001</v>
      </c>
    </row>
    <row r="31" spans="1:3" x14ac:dyDescent="0.3">
      <c r="A31" s="2">
        <v>0.48499999999999999</v>
      </c>
      <c r="B31" s="2">
        <v>-2.0609999999999999</v>
      </c>
      <c r="C31" s="2">
        <v>1.542</v>
      </c>
    </row>
    <row r="32" spans="1:3" x14ac:dyDescent="0.3">
      <c r="A32" s="2">
        <v>0.502</v>
      </c>
      <c r="B32" s="2">
        <v>-2.25</v>
      </c>
      <c r="C32" s="2">
        <v>1.5089999999999999</v>
      </c>
    </row>
    <row r="33" spans="1:3" x14ac:dyDescent="0.3">
      <c r="A33" s="2">
        <v>0.51800000000000002</v>
      </c>
      <c r="B33" s="2">
        <v>-2.3159999999999998</v>
      </c>
      <c r="C33" s="2">
        <v>1.4670000000000001</v>
      </c>
    </row>
    <row r="34" spans="1:3" x14ac:dyDescent="0.3">
      <c r="A34" s="2">
        <v>0.53500000000000003</v>
      </c>
      <c r="B34" s="2">
        <v>-2.1970000000000001</v>
      </c>
      <c r="C34" s="2">
        <v>1.4319999999999999</v>
      </c>
    </row>
    <row r="35" spans="1:3" x14ac:dyDescent="0.3">
      <c r="A35" s="2">
        <v>0.55200000000000005</v>
      </c>
      <c r="B35" s="2">
        <v>-2.319</v>
      </c>
      <c r="C35" s="2">
        <v>1.393</v>
      </c>
    </row>
    <row r="36" spans="1:3" x14ac:dyDescent="0.3">
      <c r="A36" s="2">
        <v>0.56799999999999995</v>
      </c>
      <c r="B36" s="2">
        <v>-2.1970000000000001</v>
      </c>
      <c r="C36" s="2">
        <v>1.3540000000000001</v>
      </c>
    </row>
    <row r="37" spans="1:3" x14ac:dyDescent="0.3">
      <c r="A37" s="2">
        <v>0.58499999999999996</v>
      </c>
      <c r="B37" s="2">
        <v>-2.1970000000000001</v>
      </c>
      <c r="C37" s="2">
        <v>1.32</v>
      </c>
    </row>
    <row r="38" spans="1:3" x14ac:dyDescent="0.3">
      <c r="A38" s="2">
        <v>0.60199999999999998</v>
      </c>
      <c r="B38" s="2">
        <v>-2.3119999999999998</v>
      </c>
      <c r="C38" s="2">
        <v>1.2809999999999999</v>
      </c>
    </row>
    <row r="39" spans="1:3" x14ac:dyDescent="0.3">
      <c r="A39" s="2">
        <v>0.61799999999999999</v>
      </c>
      <c r="B39" s="2">
        <v>-2.2629999999999999</v>
      </c>
      <c r="C39" s="2">
        <v>1.2430000000000001</v>
      </c>
    </row>
    <row r="40" spans="1:3" x14ac:dyDescent="0.3">
      <c r="A40" s="2">
        <v>0.63500000000000001</v>
      </c>
      <c r="B40" s="2">
        <v>-2.274</v>
      </c>
      <c r="C40" s="2">
        <v>1.206</v>
      </c>
    </row>
    <row r="41" spans="1:3" x14ac:dyDescent="0.3">
      <c r="A41" s="2">
        <v>0.65200000000000002</v>
      </c>
      <c r="B41" s="2">
        <v>-2.302</v>
      </c>
      <c r="C41" s="2">
        <v>1.167</v>
      </c>
    </row>
    <row r="42" spans="1:3" x14ac:dyDescent="0.3">
      <c r="A42" s="2">
        <v>0.66800000000000004</v>
      </c>
      <c r="B42" s="2">
        <v>-2.1920000000000002</v>
      </c>
      <c r="C42" s="2">
        <v>1.129</v>
      </c>
    </row>
    <row r="43" spans="1:3" x14ac:dyDescent="0.3">
      <c r="A43" s="2">
        <v>0.68500000000000005</v>
      </c>
      <c r="B43" s="2">
        <v>-2</v>
      </c>
      <c r="C43" s="2">
        <v>1.0940000000000001</v>
      </c>
    </row>
    <row r="44" spans="1:3" x14ac:dyDescent="0.3">
      <c r="A44" s="2">
        <v>0.70199999999999996</v>
      </c>
      <c r="B44" s="2">
        <v>-2.2200000000000002</v>
      </c>
      <c r="C44" s="2">
        <v>1.0620000000000001</v>
      </c>
    </row>
    <row r="45" spans="1:3" x14ac:dyDescent="0.3">
      <c r="A45" s="2">
        <v>0.71799999999999997</v>
      </c>
      <c r="B45" s="2">
        <v>-2.137</v>
      </c>
      <c r="C45" s="2">
        <v>1.02</v>
      </c>
    </row>
    <row r="46" spans="1:3" x14ac:dyDescent="0.3">
      <c r="A46" s="2">
        <v>0.73499999999999999</v>
      </c>
      <c r="B46" s="2">
        <v>-1.863</v>
      </c>
      <c r="C46" s="2">
        <v>0.99099999999999999</v>
      </c>
    </row>
    <row r="47" spans="1:3" x14ac:dyDescent="0.3">
      <c r="A47" s="2">
        <v>0.752</v>
      </c>
      <c r="B47" s="2">
        <v>-2.302</v>
      </c>
      <c r="C47" s="2">
        <v>0.95799999999999996</v>
      </c>
    </row>
    <row r="48" spans="1:3" x14ac:dyDescent="0.3">
      <c r="A48" s="2">
        <v>0.76800000000000002</v>
      </c>
      <c r="B48" s="2">
        <v>-2.2469999999999999</v>
      </c>
      <c r="C48" s="2">
        <v>0.91400000000000003</v>
      </c>
    </row>
    <row r="49" spans="1:3" x14ac:dyDescent="0.3">
      <c r="A49" s="2">
        <v>0.78500000000000003</v>
      </c>
      <c r="B49" s="2">
        <v>-2.11</v>
      </c>
      <c r="C49" s="2">
        <v>0.88300000000000001</v>
      </c>
    </row>
    <row r="50" spans="1:3" x14ac:dyDescent="0.3">
      <c r="A50" s="2">
        <v>0.80200000000000005</v>
      </c>
      <c r="B50" s="2">
        <v>-2.044</v>
      </c>
      <c r="C50" s="2">
        <v>0.84399999999999997</v>
      </c>
    </row>
    <row r="51" spans="1:3" x14ac:dyDescent="0.3">
      <c r="A51" s="2">
        <v>0.81799999999999995</v>
      </c>
      <c r="B51" s="2">
        <v>-1.544</v>
      </c>
      <c r="C51" s="2">
        <v>0.81499999999999995</v>
      </c>
    </row>
    <row r="52" spans="1:3" x14ac:dyDescent="0.3">
      <c r="A52" s="2">
        <v>0.83499999999999996</v>
      </c>
      <c r="B52" s="2">
        <v>-1.55</v>
      </c>
      <c r="C52" s="2">
        <v>0.79300000000000004</v>
      </c>
    </row>
    <row r="53" spans="1:3" x14ac:dyDescent="0.3">
      <c r="A53" s="2">
        <v>0.85199999999999998</v>
      </c>
      <c r="B53" s="2">
        <v>-2.1120000000000001</v>
      </c>
      <c r="C53" s="2">
        <v>0.76300000000000001</v>
      </c>
    </row>
    <row r="54" spans="1:3" x14ac:dyDescent="0.3">
      <c r="A54" s="2">
        <v>0.86799999999999999</v>
      </c>
      <c r="B54" s="2">
        <v>-2.0920000000000001</v>
      </c>
      <c r="C54" s="2">
        <v>0.72199999999999998</v>
      </c>
    </row>
    <row r="55" spans="1:3" x14ac:dyDescent="0.3">
      <c r="A55" s="2">
        <v>0.88500000000000001</v>
      </c>
      <c r="B55" s="2">
        <v>-1.55</v>
      </c>
      <c r="C55" s="2">
        <v>0.69399999999999995</v>
      </c>
    </row>
    <row r="56" spans="1:3" x14ac:dyDescent="0.3">
      <c r="A56" s="2">
        <v>0.90200000000000002</v>
      </c>
      <c r="B56" s="2">
        <v>-1.4339999999999999</v>
      </c>
      <c r="C56" s="2">
        <v>0.67</v>
      </c>
    </row>
    <row r="57" spans="1:3" x14ac:dyDescent="0.3">
      <c r="A57" s="2">
        <v>0.91800000000000004</v>
      </c>
      <c r="B57" s="2">
        <v>-1.976</v>
      </c>
      <c r="C57" s="2">
        <v>0.64600000000000002</v>
      </c>
    </row>
    <row r="58" spans="1:3" x14ac:dyDescent="0.3">
      <c r="A58" s="2">
        <v>0.93500000000000005</v>
      </c>
      <c r="B58" s="2">
        <v>-1.86</v>
      </c>
      <c r="C58" s="2">
        <v>0.60499999999999998</v>
      </c>
    </row>
    <row r="59" spans="1:3" x14ac:dyDescent="0.3">
      <c r="A59" s="2">
        <v>0.95199999999999996</v>
      </c>
      <c r="B59" s="2">
        <v>-1.821</v>
      </c>
      <c r="C59" s="2">
        <v>0.58399999999999996</v>
      </c>
    </row>
    <row r="60" spans="1:3" x14ac:dyDescent="0.3">
      <c r="A60" s="2">
        <v>0.96799999999999997</v>
      </c>
      <c r="B60" s="2">
        <v>-2.0409999999999999</v>
      </c>
      <c r="C60" s="2">
        <v>0.54400000000000004</v>
      </c>
    </row>
    <row r="61" spans="1:3" x14ac:dyDescent="0.3">
      <c r="A61" s="2">
        <v>0.98499999999999999</v>
      </c>
      <c r="B61" s="2">
        <v>-1.599</v>
      </c>
      <c r="C61" s="2">
        <v>0.51600000000000001</v>
      </c>
    </row>
    <row r="62" spans="1:3" x14ac:dyDescent="0.3">
      <c r="A62" s="2">
        <v>1.002</v>
      </c>
      <c r="B62" s="2">
        <v>-1.5189999999999999</v>
      </c>
      <c r="C62" s="2">
        <v>0.49099999999999999</v>
      </c>
    </row>
    <row r="63" spans="1:3" x14ac:dyDescent="0.3">
      <c r="A63" s="2">
        <v>1.018</v>
      </c>
      <c r="B63" s="2">
        <v>-1.6910000000000001</v>
      </c>
      <c r="C63" s="2">
        <v>0.46500000000000002</v>
      </c>
    </row>
    <row r="64" spans="1:3" x14ac:dyDescent="0.3">
      <c r="A64" s="2">
        <v>1.0349999999999999</v>
      </c>
      <c r="B64" s="2">
        <v>-1.968</v>
      </c>
      <c r="C64" s="2">
        <v>0.434</v>
      </c>
    </row>
    <row r="65" spans="1:3" x14ac:dyDescent="0.3">
      <c r="A65" s="2">
        <v>1.052</v>
      </c>
      <c r="B65" s="2">
        <v>-1.8120000000000001</v>
      </c>
      <c r="C65" s="2">
        <v>0.4</v>
      </c>
    </row>
    <row r="66" spans="1:3" x14ac:dyDescent="0.3">
      <c r="A66" s="2">
        <v>1.0680000000000001</v>
      </c>
      <c r="B66" s="2">
        <v>-1.6220000000000001</v>
      </c>
      <c r="C66" s="2">
        <v>0.374</v>
      </c>
    </row>
    <row r="67" spans="1:3" x14ac:dyDescent="0.3">
      <c r="A67" s="2">
        <v>1.085</v>
      </c>
      <c r="B67" s="2">
        <v>-1.8640000000000001</v>
      </c>
      <c r="C67" s="2">
        <v>0.34599999999999997</v>
      </c>
    </row>
    <row r="68" spans="1:3" x14ac:dyDescent="0.3">
      <c r="A68" s="2">
        <v>1.1020000000000001</v>
      </c>
      <c r="B68" s="2">
        <v>-2.0710000000000002</v>
      </c>
      <c r="C68" s="2">
        <v>0.312</v>
      </c>
    </row>
    <row r="69" spans="1:3" x14ac:dyDescent="0.3">
      <c r="A69" s="2">
        <v>1.1180000000000001</v>
      </c>
      <c r="B69" s="2">
        <v>-2.2679999999999998</v>
      </c>
      <c r="C69" s="2">
        <v>0.27700000000000002</v>
      </c>
    </row>
    <row r="70" spans="1:3" x14ac:dyDescent="0.3">
      <c r="A70" s="2">
        <v>1.135</v>
      </c>
      <c r="B70" s="2">
        <v>-1.907</v>
      </c>
      <c r="C70" s="2">
        <v>0.23599999999999999</v>
      </c>
    </row>
    <row r="71" spans="1:3" x14ac:dyDescent="0.3">
      <c r="A71" s="2">
        <v>1.1519999999999999</v>
      </c>
      <c r="B71" s="2">
        <v>-1.399</v>
      </c>
      <c r="C71" s="2">
        <v>0.21299999999999999</v>
      </c>
    </row>
    <row r="72" spans="1:3" x14ac:dyDescent="0.3">
      <c r="A72" s="2">
        <v>1.1679999999999999</v>
      </c>
      <c r="B72" s="2">
        <v>-1.492</v>
      </c>
      <c r="C72" s="2">
        <v>0.189</v>
      </c>
    </row>
    <row r="73" spans="1:3" x14ac:dyDescent="0.3">
      <c r="A73" s="2">
        <v>1.1850000000000001</v>
      </c>
      <c r="B73" s="2">
        <v>-1.4610000000000001</v>
      </c>
      <c r="C73" s="2">
        <v>0.16300000000000001</v>
      </c>
    </row>
    <row r="74" spans="1:3" x14ac:dyDescent="0.3">
      <c r="A74" s="2">
        <v>1.202</v>
      </c>
      <c r="B74" s="2">
        <v>-1.738</v>
      </c>
      <c r="C74" s="2">
        <v>0.14099999999999999</v>
      </c>
    </row>
    <row r="75" spans="1:3" x14ac:dyDescent="0.3">
      <c r="A75" s="2">
        <v>1.218</v>
      </c>
      <c r="B75" s="2">
        <v>-2.0609999999999999</v>
      </c>
      <c r="C75" s="2">
        <v>0.105</v>
      </c>
    </row>
    <row r="76" spans="1:3" x14ac:dyDescent="0.3">
      <c r="A76" s="2">
        <v>1.2350000000000001</v>
      </c>
      <c r="B76" s="2">
        <v>-1.5529999999999999</v>
      </c>
      <c r="C76" s="2">
        <v>7.2059999999999999E-2</v>
      </c>
    </row>
    <row r="77" spans="1:3" x14ac:dyDescent="0.3">
      <c r="A77" s="2">
        <v>1.252</v>
      </c>
      <c r="B77" s="2">
        <v>-1.0609999999999999</v>
      </c>
      <c r="C77" s="2">
        <v>5.3609999999999998E-2</v>
      </c>
    </row>
    <row r="78" spans="1:3" x14ac:dyDescent="0.3">
      <c r="A78" s="2">
        <v>1.268</v>
      </c>
      <c r="B78" s="2"/>
      <c r="C78" s="2">
        <v>3.669E-2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5A6EC-85F9-E14A-A639-EFB5E4D47DDA}">
  <dimension ref="A1:H94"/>
  <sheetViews>
    <sheetView workbookViewId="0">
      <selection activeCell="C1" sqref="A1:C1"/>
    </sheetView>
  </sheetViews>
  <sheetFormatPr defaultColWidth="11.19921875" defaultRowHeight="15.6" x14ac:dyDescent="0.3"/>
  <cols>
    <col min="2" max="2" width="20.59765625" customWidth="1"/>
    <col min="7" max="7" width="20.296875" customWidth="1"/>
  </cols>
  <sheetData>
    <row r="1" spans="1:8" x14ac:dyDescent="0.3">
      <c r="A1" s="1" t="s">
        <v>0</v>
      </c>
      <c r="B1" s="1" t="s">
        <v>11</v>
      </c>
      <c r="C1" s="1" t="s">
        <v>10</v>
      </c>
      <c r="F1" t="s">
        <v>1</v>
      </c>
      <c r="G1" t="s">
        <v>5</v>
      </c>
      <c r="H1" t="s">
        <v>2</v>
      </c>
    </row>
    <row r="2" spans="1:8" x14ac:dyDescent="0.3">
      <c r="A2" s="2">
        <v>0</v>
      </c>
      <c r="B2" s="2">
        <v>0</v>
      </c>
      <c r="C2" s="2">
        <v>2.3140000000000001</v>
      </c>
      <c r="F2">
        <v>-9.81</v>
      </c>
      <c r="G2" s="2">
        <v>-1.5549999999999999</v>
      </c>
      <c r="H2" s="4">
        <f>G2/F2</f>
        <v>0.1585117227319062</v>
      </c>
    </row>
    <row r="3" spans="1:8" x14ac:dyDescent="0.3">
      <c r="A3" s="2">
        <v>1.7000000000000001E-2</v>
      </c>
      <c r="B3" s="2">
        <v>-0.46300000000000002</v>
      </c>
      <c r="C3" s="2">
        <v>2.3039999999999998</v>
      </c>
      <c r="G3" t="s">
        <v>15</v>
      </c>
    </row>
    <row r="4" spans="1:8" x14ac:dyDescent="0.3">
      <c r="A4" s="2">
        <v>3.3000000000000002E-2</v>
      </c>
      <c r="B4" s="2">
        <v>-0.27</v>
      </c>
      <c r="C4" s="2">
        <v>2.2989999999999999</v>
      </c>
    </row>
    <row r="5" spans="1:8" x14ac:dyDescent="0.3">
      <c r="A5" s="2">
        <v>0.05</v>
      </c>
      <c r="B5" s="2">
        <v>-0.42399999999999999</v>
      </c>
      <c r="C5" s="2">
        <v>2.2949999999999999</v>
      </c>
    </row>
    <row r="6" spans="1:8" x14ac:dyDescent="0.3">
      <c r="A6" s="2">
        <v>6.7000000000000004E-2</v>
      </c>
      <c r="B6" s="2">
        <v>-0.84799999999999998</v>
      </c>
      <c r="C6" s="2">
        <v>2.2850000000000001</v>
      </c>
    </row>
    <row r="7" spans="1:8" x14ac:dyDescent="0.3">
      <c r="A7" s="2">
        <v>8.3000000000000004E-2</v>
      </c>
      <c r="B7" s="2">
        <v>-0.96399999999999997</v>
      </c>
      <c r="C7" s="2">
        <v>2.2669999999999999</v>
      </c>
    </row>
    <row r="8" spans="1:8" x14ac:dyDescent="0.3">
      <c r="A8" s="2">
        <v>0.1</v>
      </c>
      <c r="B8" s="2">
        <v>-0.69399999999999995</v>
      </c>
      <c r="C8" s="2">
        <v>2.2519999999999998</v>
      </c>
    </row>
    <row r="9" spans="1:8" x14ac:dyDescent="0.3">
      <c r="A9" s="2">
        <v>0.11700000000000001</v>
      </c>
      <c r="B9" s="2">
        <v>-0.77100000000000002</v>
      </c>
      <c r="C9" s="2">
        <v>2.2429999999999999</v>
      </c>
    </row>
    <row r="10" spans="1:8" x14ac:dyDescent="0.3">
      <c r="A10" s="2">
        <v>0.13300000000000001</v>
      </c>
      <c r="B10" s="2">
        <v>-0.92500000000000004</v>
      </c>
      <c r="C10" s="2">
        <v>2.2269999999999999</v>
      </c>
    </row>
    <row r="11" spans="1:8" x14ac:dyDescent="0.3">
      <c r="A11" s="2">
        <v>0.15</v>
      </c>
      <c r="B11" s="2">
        <v>-1.08</v>
      </c>
      <c r="C11" s="2">
        <v>2.2130000000000001</v>
      </c>
    </row>
    <row r="12" spans="1:8" x14ac:dyDescent="0.3">
      <c r="A12" s="2">
        <v>0.16700000000000001</v>
      </c>
      <c r="B12" s="2">
        <v>-1.272</v>
      </c>
      <c r="C12" s="2">
        <v>2.1909999999999998</v>
      </c>
    </row>
    <row r="13" spans="1:8" x14ac:dyDescent="0.3">
      <c r="A13" s="2">
        <v>0.183</v>
      </c>
      <c r="B13" s="2">
        <v>-1.157</v>
      </c>
      <c r="C13" s="2">
        <v>2.17</v>
      </c>
    </row>
    <row r="14" spans="1:8" x14ac:dyDescent="0.3">
      <c r="A14" s="2">
        <v>0.2</v>
      </c>
      <c r="B14" s="2">
        <v>-1.234</v>
      </c>
      <c r="C14" s="2">
        <v>2.1520000000000001</v>
      </c>
    </row>
    <row r="15" spans="1:8" x14ac:dyDescent="0.3">
      <c r="A15" s="2">
        <v>0.217</v>
      </c>
      <c r="B15" s="2">
        <v>-1.4650000000000001</v>
      </c>
      <c r="C15" s="2">
        <v>2.129</v>
      </c>
    </row>
    <row r="16" spans="1:8" x14ac:dyDescent="0.3">
      <c r="A16" s="2">
        <v>0.23300000000000001</v>
      </c>
      <c r="B16" s="2">
        <v>-1.427</v>
      </c>
      <c r="C16" s="2">
        <v>2.1030000000000002</v>
      </c>
    </row>
    <row r="17" spans="1:3" x14ac:dyDescent="0.3">
      <c r="A17" s="2">
        <v>0.25</v>
      </c>
      <c r="B17" s="2">
        <v>-1.581</v>
      </c>
      <c r="C17" s="2">
        <v>2.0819999999999999</v>
      </c>
    </row>
    <row r="18" spans="1:3" x14ac:dyDescent="0.3">
      <c r="A18" s="2">
        <v>0.26700000000000002</v>
      </c>
      <c r="B18" s="2">
        <v>-1.504</v>
      </c>
      <c r="C18" s="2">
        <v>2.0510000000000002</v>
      </c>
    </row>
    <row r="19" spans="1:3" x14ac:dyDescent="0.3">
      <c r="A19" s="2">
        <v>0.28299999999999997</v>
      </c>
      <c r="B19" s="2">
        <v>-1.4650000000000001</v>
      </c>
      <c r="C19" s="2">
        <v>2.0310000000000001</v>
      </c>
    </row>
    <row r="20" spans="1:3" x14ac:dyDescent="0.3">
      <c r="A20" s="2">
        <v>0.3</v>
      </c>
      <c r="B20" s="2">
        <v>-1.504</v>
      </c>
      <c r="C20" s="2">
        <v>2.0019999999999998</v>
      </c>
    </row>
    <row r="21" spans="1:3" x14ac:dyDescent="0.3">
      <c r="A21" s="2">
        <v>0.317</v>
      </c>
      <c r="B21" s="2">
        <v>-1.272</v>
      </c>
      <c r="C21" s="2">
        <v>1.9810000000000001</v>
      </c>
    </row>
    <row r="22" spans="1:3" x14ac:dyDescent="0.3">
      <c r="A22" s="2">
        <v>0.33300000000000002</v>
      </c>
      <c r="B22" s="2">
        <v>-1.4650000000000001</v>
      </c>
      <c r="C22" s="2">
        <v>1.9590000000000001</v>
      </c>
    </row>
    <row r="23" spans="1:3" x14ac:dyDescent="0.3">
      <c r="A23" s="2">
        <v>0.35</v>
      </c>
      <c r="B23" s="2">
        <v>-1.581</v>
      </c>
      <c r="C23" s="2">
        <v>1.9319999999999999</v>
      </c>
    </row>
    <row r="24" spans="1:3" x14ac:dyDescent="0.3">
      <c r="A24" s="2">
        <v>0.36699999999999999</v>
      </c>
      <c r="B24" s="2">
        <v>-1.504</v>
      </c>
      <c r="C24" s="2">
        <v>1.907</v>
      </c>
    </row>
    <row r="25" spans="1:3" x14ac:dyDescent="0.3">
      <c r="A25" s="2">
        <v>0.38300000000000001</v>
      </c>
      <c r="B25" s="2">
        <v>-1.7350000000000001</v>
      </c>
      <c r="C25" s="2">
        <v>1.8819999999999999</v>
      </c>
    </row>
    <row r="26" spans="1:3" x14ac:dyDescent="0.3">
      <c r="A26" s="2">
        <v>0.4</v>
      </c>
      <c r="B26" s="2">
        <v>-1.851</v>
      </c>
      <c r="C26" s="2">
        <v>1.849</v>
      </c>
    </row>
    <row r="27" spans="1:3" x14ac:dyDescent="0.3">
      <c r="A27" s="2">
        <v>0.41699999999999998</v>
      </c>
      <c r="B27" s="2">
        <v>-1.889</v>
      </c>
      <c r="C27" s="2">
        <v>1.821</v>
      </c>
    </row>
    <row r="28" spans="1:3" x14ac:dyDescent="0.3">
      <c r="A28" s="2">
        <v>0.433</v>
      </c>
      <c r="B28" s="2">
        <v>-2.198</v>
      </c>
      <c r="C28" s="2">
        <v>1.786</v>
      </c>
    </row>
    <row r="29" spans="1:3" x14ac:dyDescent="0.3">
      <c r="A29" s="2">
        <v>0.45</v>
      </c>
      <c r="B29" s="2">
        <v>-1.6579999999999999</v>
      </c>
      <c r="C29" s="2">
        <v>1.7470000000000001</v>
      </c>
    </row>
    <row r="30" spans="1:3" x14ac:dyDescent="0.3">
      <c r="A30" s="2">
        <v>0.46700000000000003</v>
      </c>
      <c r="B30" s="2">
        <v>-1.4650000000000001</v>
      </c>
      <c r="C30" s="2">
        <v>1.7310000000000001</v>
      </c>
    </row>
    <row r="31" spans="1:3" x14ac:dyDescent="0.3">
      <c r="A31" s="2">
        <v>0.48299999999999998</v>
      </c>
      <c r="B31" s="2">
        <v>-2.1589999999999998</v>
      </c>
      <c r="C31" s="2">
        <v>1.6990000000000001</v>
      </c>
    </row>
    <row r="32" spans="1:3" x14ac:dyDescent="0.3">
      <c r="A32" s="2">
        <v>0.5</v>
      </c>
      <c r="B32" s="2">
        <v>-2.02</v>
      </c>
      <c r="C32" s="2">
        <v>1.659</v>
      </c>
    </row>
    <row r="33" spans="1:3" x14ac:dyDescent="0.3">
      <c r="A33" s="2">
        <v>0.51800000000000002</v>
      </c>
      <c r="B33" s="2">
        <v>-1.6160000000000001</v>
      </c>
      <c r="C33" s="2">
        <v>1.6279999999999999</v>
      </c>
    </row>
    <row r="34" spans="1:3" x14ac:dyDescent="0.3">
      <c r="A34" s="2">
        <v>0.53500000000000003</v>
      </c>
      <c r="B34" s="2">
        <v>-1.542</v>
      </c>
      <c r="C34" s="2">
        <v>1.6020000000000001</v>
      </c>
    </row>
    <row r="35" spans="1:3" x14ac:dyDescent="0.3">
      <c r="A35" s="2">
        <v>0.55200000000000005</v>
      </c>
      <c r="B35" s="2">
        <v>-1.8120000000000001</v>
      </c>
      <c r="C35" s="2">
        <v>1.5760000000000001</v>
      </c>
    </row>
    <row r="36" spans="1:3" x14ac:dyDescent="0.3">
      <c r="A36" s="2">
        <v>0.56799999999999995</v>
      </c>
      <c r="B36" s="2">
        <v>-1.851</v>
      </c>
      <c r="C36" s="2">
        <v>1.542</v>
      </c>
    </row>
    <row r="37" spans="1:3" x14ac:dyDescent="0.3">
      <c r="A37" s="2">
        <v>0.58499999999999996</v>
      </c>
      <c r="B37" s="2">
        <v>-1.4650000000000001</v>
      </c>
      <c r="C37" s="2">
        <v>1.5149999999999999</v>
      </c>
    </row>
    <row r="38" spans="1:3" x14ac:dyDescent="0.3">
      <c r="A38" s="2">
        <v>0.60199999999999998</v>
      </c>
      <c r="B38" s="2">
        <v>-1.504</v>
      </c>
      <c r="C38" s="2">
        <v>1.4930000000000001</v>
      </c>
    </row>
    <row r="39" spans="1:3" x14ac:dyDescent="0.3">
      <c r="A39" s="2">
        <v>0.61799999999999999</v>
      </c>
      <c r="B39" s="2">
        <v>-1.774</v>
      </c>
      <c r="C39" s="2">
        <v>1.4650000000000001</v>
      </c>
    </row>
    <row r="40" spans="1:3" x14ac:dyDescent="0.3">
      <c r="A40" s="2">
        <v>0.63500000000000001</v>
      </c>
      <c r="B40" s="2">
        <v>-1.889</v>
      </c>
      <c r="C40" s="2">
        <v>1.4339999999999999</v>
      </c>
    </row>
    <row r="41" spans="1:3" x14ac:dyDescent="0.3">
      <c r="A41" s="2">
        <v>0.65200000000000002</v>
      </c>
      <c r="B41" s="2">
        <v>-1.9279999999999999</v>
      </c>
      <c r="C41" s="2">
        <v>1.4019999999999999</v>
      </c>
    </row>
    <row r="42" spans="1:3" x14ac:dyDescent="0.3">
      <c r="A42" s="2">
        <v>0.66800000000000004</v>
      </c>
      <c r="B42" s="2">
        <v>-2.081</v>
      </c>
      <c r="C42" s="2">
        <v>1.369</v>
      </c>
    </row>
    <row r="43" spans="1:3" x14ac:dyDescent="0.3">
      <c r="A43" s="2">
        <v>0.68500000000000005</v>
      </c>
      <c r="B43" s="2">
        <v>-1.7969999999999999</v>
      </c>
      <c r="C43" s="2">
        <v>1.3320000000000001</v>
      </c>
    </row>
    <row r="44" spans="1:3" x14ac:dyDescent="0.3">
      <c r="A44" s="2">
        <v>0.70199999999999996</v>
      </c>
      <c r="B44" s="2">
        <v>-1.5549999999999999</v>
      </c>
      <c r="C44" s="2">
        <v>1.31</v>
      </c>
    </row>
    <row r="45" spans="1:3" x14ac:dyDescent="0.3">
      <c r="A45" s="2">
        <v>0.71799999999999997</v>
      </c>
      <c r="B45" s="2">
        <v>-1.9430000000000001</v>
      </c>
      <c r="C45" s="2">
        <v>1.28</v>
      </c>
    </row>
    <row r="46" spans="1:3" x14ac:dyDescent="0.3">
      <c r="A46" s="2">
        <v>0.73499999999999999</v>
      </c>
      <c r="B46" s="2">
        <v>-1.992</v>
      </c>
      <c r="C46" s="2">
        <v>1.2450000000000001</v>
      </c>
    </row>
    <row r="47" spans="1:3" x14ac:dyDescent="0.3">
      <c r="A47" s="2">
        <v>0.752</v>
      </c>
      <c r="B47" s="2">
        <v>-1.7010000000000001</v>
      </c>
      <c r="C47" s="2">
        <v>1.214</v>
      </c>
    </row>
    <row r="48" spans="1:3" x14ac:dyDescent="0.3">
      <c r="A48" s="2">
        <v>0.76800000000000002</v>
      </c>
      <c r="B48" s="2">
        <v>-1.506</v>
      </c>
      <c r="C48" s="2">
        <v>1.1879999999999999</v>
      </c>
    </row>
    <row r="49" spans="1:3" x14ac:dyDescent="0.3">
      <c r="A49" s="2">
        <v>0.78500000000000003</v>
      </c>
      <c r="B49" s="2">
        <v>-1.603</v>
      </c>
      <c r="C49" s="2">
        <v>1.1639999999999999</v>
      </c>
    </row>
    <row r="50" spans="1:3" x14ac:dyDescent="0.3">
      <c r="A50" s="2">
        <v>0.80200000000000005</v>
      </c>
      <c r="B50" s="2">
        <v>-1.8460000000000001</v>
      </c>
      <c r="C50" s="2">
        <v>1.135</v>
      </c>
    </row>
    <row r="51" spans="1:3" x14ac:dyDescent="0.3">
      <c r="A51" s="2">
        <v>0.81799999999999995</v>
      </c>
      <c r="B51" s="2">
        <v>-1.6519999999999999</v>
      </c>
      <c r="C51" s="2">
        <v>1.1020000000000001</v>
      </c>
    </row>
    <row r="52" spans="1:3" x14ac:dyDescent="0.3">
      <c r="A52" s="2">
        <v>0.83499999999999996</v>
      </c>
      <c r="B52" s="2">
        <v>-1.458</v>
      </c>
      <c r="C52" s="2">
        <v>1.08</v>
      </c>
    </row>
    <row r="53" spans="1:3" x14ac:dyDescent="0.3">
      <c r="A53" s="2">
        <v>0.85199999999999998</v>
      </c>
      <c r="B53" s="2">
        <v>-1.1659999999999999</v>
      </c>
      <c r="C53" s="2">
        <v>1.054</v>
      </c>
    </row>
    <row r="54" spans="1:3" x14ac:dyDescent="0.3">
      <c r="A54" s="2">
        <v>0.86799999999999999</v>
      </c>
      <c r="B54" s="2">
        <v>-1.2150000000000001</v>
      </c>
      <c r="C54" s="2">
        <v>1.0409999999999999</v>
      </c>
    </row>
    <row r="55" spans="1:3" x14ac:dyDescent="0.3">
      <c r="A55" s="2">
        <v>0.88500000000000001</v>
      </c>
      <c r="B55" s="2">
        <v>-1.6519999999999999</v>
      </c>
      <c r="C55" s="2">
        <v>1.0129999999999999</v>
      </c>
    </row>
    <row r="56" spans="1:3" x14ac:dyDescent="0.3">
      <c r="A56" s="2">
        <v>0.90200000000000002</v>
      </c>
      <c r="B56" s="2">
        <v>-1.36</v>
      </c>
      <c r="C56" s="2">
        <v>0.98599999999999999</v>
      </c>
    </row>
    <row r="57" spans="1:3" x14ac:dyDescent="0.3">
      <c r="A57" s="2">
        <v>0.91800000000000004</v>
      </c>
      <c r="B57" s="2">
        <v>-1.2629999999999999</v>
      </c>
      <c r="C57" s="2">
        <v>0.96799999999999997</v>
      </c>
    </row>
    <row r="58" spans="1:3" x14ac:dyDescent="0.3">
      <c r="A58" s="2">
        <v>0.93500000000000005</v>
      </c>
      <c r="B58" s="2">
        <v>-1.458</v>
      </c>
      <c r="C58" s="2">
        <v>0.94399999999999995</v>
      </c>
    </row>
    <row r="59" spans="1:3" x14ac:dyDescent="0.3">
      <c r="A59" s="2">
        <v>0.95199999999999996</v>
      </c>
      <c r="B59" s="2">
        <v>-1.603</v>
      </c>
      <c r="C59" s="2">
        <v>0.91900000000000004</v>
      </c>
    </row>
    <row r="60" spans="1:3" x14ac:dyDescent="0.3">
      <c r="A60" s="2">
        <v>0.96799999999999997</v>
      </c>
      <c r="B60" s="2">
        <v>-1.7010000000000001</v>
      </c>
      <c r="C60" s="2">
        <v>0.89</v>
      </c>
    </row>
    <row r="61" spans="1:3" x14ac:dyDescent="0.3">
      <c r="A61" s="2">
        <v>0.98499999999999999</v>
      </c>
      <c r="B61" s="2">
        <v>-1.36</v>
      </c>
      <c r="C61" s="2">
        <v>0.86299999999999999</v>
      </c>
    </row>
    <row r="62" spans="1:3" x14ac:dyDescent="0.3">
      <c r="A62" s="2">
        <v>1.002</v>
      </c>
      <c r="B62" s="2">
        <v>-1.3120000000000001</v>
      </c>
      <c r="C62" s="2">
        <v>0.84499999999999997</v>
      </c>
    </row>
    <row r="63" spans="1:3" x14ac:dyDescent="0.3">
      <c r="A63" s="2">
        <v>1.018</v>
      </c>
      <c r="B63" s="2">
        <v>-1.798</v>
      </c>
      <c r="C63" s="2">
        <v>0.81899999999999995</v>
      </c>
    </row>
    <row r="64" spans="1:3" x14ac:dyDescent="0.3">
      <c r="A64" s="2">
        <v>1.0349999999999999</v>
      </c>
      <c r="B64" s="2">
        <v>-1.7490000000000001</v>
      </c>
      <c r="C64" s="2">
        <v>0.78500000000000003</v>
      </c>
    </row>
    <row r="65" spans="1:3" x14ac:dyDescent="0.3">
      <c r="A65" s="2">
        <v>1.052</v>
      </c>
      <c r="B65" s="2">
        <v>-1.409</v>
      </c>
      <c r="C65" s="2">
        <v>0.76100000000000001</v>
      </c>
    </row>
    <row r="66" spans="1:3" x14ac:dyDescent="0.3">
      <c r="A66" s="2">
        <v>1.0680000000000001</v>
      </c>
      <c r="B66" s="2">
        <v>-1.1659999999999999</v>
      </c>
      <c r="C66" s="2">
        <v>0.73799999999999999</v>
      </c>
    </row>
    <row r="67" spans="1:3" x14ac:dyDescent="0.3">
      <c r="A67" s="2">
        <v>1.085</v>
      </c>
      <c r="B67" s="2">
        <v>-1.409</v>
      </c>
      <c r="C67" s="2">
        <v>0.72199999999999998</v>
      </c>
    </row>
    <row r="68" spans="1:3" x14ac:dyDescent="0.3">
      <c r="A68" s="2">
        <v>1.1020000000000001</v>
      </c>
      <c r="B68" s="2">
        <v>-1.9430000000000001</v>
      </c>
      <c r="C68" s="2">
        <v>0.69099999999999995</v>
      </c>
    </row>
    <row r="69" spans="1:3" x14ac:dyDescent="0.3">
      <c r="A69" s="2">
        <v>1.1180000000000001</v>
      </c>
      <c r="B69" s="2">
        <v>-1.603</v>
      </c>
      <c r="C69" s="2">
        <v>0.65700000000000003</v>
      </c>
    </row>
    <row r="70" spans="1:3" x14ac:dyDescent="0.3">
      <c r="A70" s="2">
        <v>1.135</v>
      </c>
      <c r="B70" s="2">
        <v>-1.409</v>
      </c>
      <c r="C70" s="2">
        <v>0.63700000000000001</v>
      </c>
    </row>
    <row r="71" spans="1:3" x14ac:dyDescent="0.3">
      <c r="A71" s="2">
        <v>1.1519999999999999</v>
      </c>
      <c r="B71" s="2">
        <v>-1.7010000000000001</v>
      </c>
      <c r="C71" s="2">
        <v>0.61</v>
      </c>
    </row>
    <row r="72" spans="1:3" x14ac:dyDescent="0.3">
      <c r="A72" s="2">
        <v>1.1679999999999999</v>
      </c>
      <c r="B72" s="2">
        <v>-1.7010000000000001</v>
      </c>
      <c r="C72" s="2">
        <v>0.58099999999999996</v>
      </c>
    </row>
    <row r="73" spans="1:3" x14ac:dyDescent="0.3">
      <c r="A73" s="2">
        <v>1.1850000000000001</v>
      </c>
      <c r="B73" s="2">
        <v>-1.603</v>
      </c>
      <c r="C73" s="2">
        <v>0.55300000000000005</v>
      </c>
    </row>
    <row r="74" spans="1:3" x14ac:dyDescent="0.3">
      <c r="A74" s="2">
        <v>1.202</v>
      </c>
      <c r="B74" s="2">
        <v>-1.798</v>
      </c>
      <c r="C74" s="2">
        <v>0.52700000000000002</v>
      </c>
    </row>
    <row r="75" spans="1:3" x14ac:dyDescent="0.3">
      <c r="A75" s="2">
        <v>1.218</v>
      </c>
      <c r="B75" s="2">
        <v>-1.7490000000000001</v>
      </c>
      <c r="C75" s="2">
        <v>0.49299999999999999</v>
      </c>
    </row>
    <row r="76" spans="1:3" x14ac:dyDescent="0.3">
      <c r="A76" s="2">
        <v>1.2350000000000001</v>
      </c>
      <c r="B76" s="2">
        <v>-1.7010000000000001</v>
      </c>
      <c r="C76" s="2">
        <v>0.46899999999999997</v>
      </c>
    </row>
    <row r="77" spans="1:3" x14ac:dyDescent="0.3">
      <c r="A77" s="2">
        <v>1.252</v>
      </c>
      <c r="B77" s="2">
        <v>-1.6519999999999999</v>
      </c>
      <c r="C77" s="2">
        <v>0.437</v>
      </c>
    </row>
    <row r="78" spans="1:3" x14ac:dyDescent="0.3">
      <c r="A78" s="2">
        <v>1.268</v>
      </c>
      <c r="B78" s="2">
        <v>-1.7490000000000001</v>
      </c>
      <c r="C78" s="2">
        <v>0.41399999999999998</v>
      </c>
    </row>
    <row r="79" spans="1:3" x14ac:dyDescent="0.3">
      <c r="A79" s="2">
        <v>1.2849999999999999</v>
      </c>
      <c r="B79" s="2">
        <v>-1.992</v>
      </c>
      <c r="C79" s="2">
        <v>0.378</v>
      </c>
    </row>
    <row r="80" spans="1:3" x14ac:dyDescent="0.3">
      <c r="A80" s="2">
        <v>1.302</v>
      </c>
      <c r="B80" s="2">
        <v>-1.895</v>
      </c>
      <c r="C80" s="2">
        <v>0.34799999999999998</v>
      </c>
    </row>
    <row r="81" spans="1:3" x14ac:dyDescent="0.3">
      <c r="A81" s="2">
        <v>1.3180000000000001</v>
      </c>
      <c r="B81" s="2">
        <v>-1.798</v>
      </c>
      <c r="C81" s="2">
        <v>0.315</v>
      </c>
    </row>
    <row r="82" spans="1:3" x14ac:dyDescent="0.3">
      <c r="A82" s="2">
        <v>1.335</v>
      </c>
      <c r="B82" s="2">
        <v>-1.458</v>
      </c>
      <c r="C82" s="2">
        <v>0.28799999999999998</v>
      </c>
    </row>
    <row r="83" spans="1:3" x14ac:dyDescent="0.3">
      <c r="A83" s="2">
        <v>1.3520000000000001</v>
      </c>
      <c r="B83" s="2">
        <v>-1.506</v>
      </c>
      <c r="C83" s="2">
        <v>0.26700000000000002</v>
      </c>
    </row>
    <row r="84" spans="1:3" x14ac:dyDescent="0.3">
      <c r="A84" s="2">
        <v>1.3680000000000001</v>
      </c>
      <c r="B84" s="2">
        <v>-1.895</v>
      </c>
      <c r="C84" s="2">
        <v>0.23699999999999999</v>
      </c>
    </row>
    <row r="85" spans="1:3" x14ac:dyDescent="0.3">
      <c r="A85" s="2">
        <v>1.385</v>
      </c>
      <c r="B85" s="2">
        <v>-1.458</v>
      </c>
      <c r="C85" s="2">
        <v>0.20300000000000001</v>
      </c>
    </row>
    <row r="86" spans="1:3" x14ac:dyDescent="0.3">
      <c r="A86" s="2">
        <v>1.4019999999999999</v>
      </c>
      <c r="B86" s="2">
        <v>-1.3120000000000001</v>
      </c>
      <c r="C86" s="2">
        <v>0.189</v>
      </c>
    </row>
    <row r="87" spans="1:3" x14ac:dyDescent="0.3">
      <c r="A87" s="2">
        <v>1.4179999999999999</v>
      </c>
      <c r="B87" s="2">
        <v>-1.798</v>
      </c>
      <c r="C87" s="2">
        <v>0.16</v>
      </c>
    </row>
    <row r="88" spans="1:3" x14ac:dyDescent="0.3">
      <c r="A88" s="2">
        <v>1.4350000000000001</v>
      </c>
      <c r="B88" s="2">
        <v>-1.7010000000000001</v>
      </c>
      <c r="C88" s="2">
        <v>0.129</v>
      </c>
    </row>
    <row r="89" spans="1:3" x14ac:dyDescent="0.3">
      <c r="A89" s="2">
        <v>1.452</v>
      </c>
      <c r="B89" s="2">
        <v>-1.6519999999999999</v>
      </c>
      <c r="C89" s="2">
        <v>0.10299999999999999</v>
      </c>
    </row>
    <row r="90" spans="1:3" x14ac:dyDescent="0.3">
      <c r="A90" s="2">
        <v>1.468</v>
      </c>
      <c r="B90" s="2">
        <v>-1.5549999999999999</v>
      </c>
      <c r="C90" s="2">
        <v>7.3830000000000007E-2</v>
      </c>
    </row>
    <row r="91" spans="1:3" x14ac:dyDescent="0.3">
      <c r="A91" s="2">
        <v>1.4850000000000001</v>
      </c>
      <c r="B91" s="2">
        <v>-1.409</v>
      </c>
      <c r="C91" s="2">
        <v>5.1150000000000001E-2</v>
      </c>
    </row>
    <row r="92" spans="1:3" x14ac:dyDescent="0.3">
      <c r="A92" s="2">
        <v>1.502</v>
      </c>
      <c r="B92" s="2">
        <v>-1.409</v>
      </c>
      <c r="C92" s="2">
        <v>2.6859999999999998E-2</v>
      </c>
    </row>
    <row r="93" spans="1:3" x14ac:dyDescent="0.3">
      <c r="A93" s="2">
        <v>1.518</v>
      </c>
      <c r="B93" s="2">
        <v>-0.72899999999999998</v>
      </c>
      <c r="C93" s="2">
        <v>4.1850000000000004E-3</v>
      </c>
    </row>
    <row r="94" spans="1:3" x14ac:dyDescent="0.3">
      <c r="A94" s="2">
        <v>1.5349999999999999</v>
      </c>
      <c r="B94" s="2">
        <v>0</v>
      </c>
      <c r="C94" s="2">
        <v>2.5660000000000001E-3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5BAFE-C522-F548-8F35-E70FD6803C60}">
  <dimension ref="A1:N80"/>
  <sheetViews>
    <sheetView topLeftCell="C1" workbookViewId="0">
      <selection activeCell="M14" sqref="M14"/>
    </sheetView>
  </sheetViews>
  <sheetFormatPr defaultColWidth="11.19921875" defaultRowHeight="15.6" x14ac:dyDescent="0.3"/>
  <cols>
    <col min="2" max="2" width="13.796875" customWidth="1"/>
    <col min="3" max="3" width="12.69921875" customWidth="1"/>
    <col min="7" max="7" width="20.5" customWidth="1"/>
    <col min="13" max="13" width="13.796875" customWidth="1"/>
    <col min="14" max="14" width="12.5" customWidth="1"/>
  </cols>
  <sheetData>
    <row r="1" spans="1:14" x14ac:dyDescent="0.3">
      <c r="A1" s="1" t="s">
        <v>0</v>
      </c>
      <c r="B1" s="1" t="s">
        <v>11</v>
      </c>
      <c r="C1" s="1" t="s">
        <v>10</v>
      </c>
      <c r="F1" t="s">
        <v>1</v>
      </c>
      <c r="G1" t="s">
        <v>5</v>
      </c>
      <c r="H1" t="s">
        <v>2</v>
      </c>
      <c r="L1" s="5" t="s">
        <v>0</v>
      </c>
      <c r="M1" s="5" t="s">
        <v>11</v>
      </c>
      <c r="N1" s="5" t="s">
        <v>10</v>
      </c>
    </row>
    <row r="2" spans="1:14" x14ac:dyDescent="0.3">
      <c r="A2" s="2">
        <v>0</v>
      </c>
      <c r="B2" s="2">
        <v>0</v>
      </c>
      <c r="C2" s="2">
        <v>2.3479999999999999</v>
      </c>
      <c r="F2">
        <v>-9.81</v>
      </c>
      <c r="G2">
        <v>-1.96</v>
      </c>
      <c r="H2" s="4">
        <f>G2/F2</f>
        <v>0.19979612640163097</v>
      </c>
      <c r="L2" s="6">
        <v>0</v>
      </c>
      <c r="M2" s="6">
        <v>0</v>
      </c>
      <c r="N2" s="6">
        <v>2.3479999999999999</v>
      </c>
    </row>
    <row r="3" spans="1:14" x14ac:dyDescent="0.3">
      <c r="A3" s="2">
        <v>1.7000000000000001E-2</v>
      </c>
      <c r="B3" s="2">
        <v>-0.315</v>
      </c>
      <c r="C3" s="2">
        <v>2.343</v>
      </c>
      <c r="G3" t="s">
        <v>16</v>
      </c>
      <c r="L3" s="6">
        <v>1.7000000000000001E-2</v>
      </c>
      <c r="M3" s="6">
        <v>0.315</v>
      </c>
      <c r="N3" s="6">
        <v>2.343</v>
      </c>
    </row>
    <row r="4" spans="1:14" x14ac:dyDescent="0.3">
      <c r="A4" s="2">
        <v>3.3000000000000002E-2</v>
      </c>
      <c r="B4" s="2">
        <v>-0.36</v>
      </c>
      <c r="C4" s="2">
        <v>2.3370000000000002</v>
      </c>
      <c r="L4" s="6">
        <v>3.3000000000000002E-2</v>
      </c>
      <c r="M4" s="6">
        <v>0.36</v>
      </c>
      <c r="N4" s="6">
        <v>2.3370000000000002</v>
      </c>
    </row>
    <row r="5" spans="1:14" x14ac:dyDescent="0.3">
      <c r="A5" s="2">
        <v>0.05</v>
      </c>
      <c r="B5" s="2">
        <v>-0.36</v>
      </c>
      <c r="C5" s="2">
        <v>2.331</v>
      </c>
      <c r="L5" s="6">
        <v>0.05</v>
      </c>
      <c r="M5" s="6">
        <v>0.36</v>
      </c>
      <c r="N5" s="6">
        <v>2.331</v>
      </c>
    </row>
    <row r="6" spans="1:14" x14ac:dyDescent="0.3">
      <c r="A6" s="2">
        <v>6.7000000000000004E-2</v>
      </c>
      <c r="B6" s="2">
        <v>-0.36</v>
      </c>
      <c r="C6" s="2">
        <v>2.3250000000000002</v>
      </c>
      <c r="L6" s="6">
        <v>6.7000000000000004E-2</v>
      </c>
      <c r="M6" s="6">
        <v>0.36</v>
      </c>
      <c r="N6" s="6">
        <v>2.3250000000000002</v>
      </c>
    </row>
    <row r="7" spans="1:14" x14ac:dyDescent="0.3">
      <c r="A7" s="2">
        <v>8.3000000000000004E-2</v>
      </c>
      <c r="B7" s="2">
        <v>-0.495</v>
      </c>
      <c r="C7" s="2">
        <v>2.319</v>
      </c>
      <c r="L7" s="6">
        <v>8.3000000000000004E-2</v>
      </c>
      <c r="M7" s="6">
        <v>0.495</v>
      </c>
      <c r="N7" s="6">
        <v>2.319</v>
      </c>
    </row>
    <row r="8" spans="1:14" x14ac:dyDescent="0.3">
      <c r="A8" s="2">
        <v>0.1</v>
      </c>
      <c r="B8" s="2">
        <v>-0.72099999999999997</v>
      </c>
      <c r="C8" s="2">
        <v>2.3090000000000002</v>
      </c>
      <c r="L8" s="6">
        <v>0.1</v>
      </c>
      <c r="M8" s="6">
        <v>-0.72099999999999997</v>
      </c>
      <c r="N8" s="6">
        <v>2.3090000000000002</v>
      </c>
    </row>
    <row r="9" spans="1:14" x14ac:dyDescent="0.3">
      <c r="A9" s="2">
        <v>0.11700000000000001</v>
      </c>
      <c r="B9" s="2">
        <v>-0.90100000000000002</v>
      </c>
      <c r="C9" s="2">
        <v>2.2949999999999999</v>
      </c>
      <c r="L9" s="6">
        <v>0.11700000000000001</v>
      </c>
      <c r="M9" s="6">
        <v>-0.90100000000000002</v>
      </c>
      <c r="N9" s="6">
        <v>2.2949999999999999</v>
      </c>
    </row>
    <row r="10" spans="1:14" x14ac:dyDescent="0.3">
      <c r="A10" s="2">
        <v>0.13300000000000001</v>
      </c>
      <c r="B10" s="2">
        <v>-0.90100000000000002</v>
      </c>
      <c r="C10" s="2">
        <v>2.2789999999999999</v>
      </c>
      <c r="L10" s="6">
        <v>0.13300000000000001</v>
      </c>
      <c r="M10" s="6">
        <v>-0.90100000000000002</v>
      </c>
      <c r="N10" s="6">
        <v>2.2789999999999999</v>
      </c>
    </row>
    <row r="11" spans="1:14" x14ac:dyDescent="0.3">
      <c r="A11" s="2">
        <v>0.15</v>
      </c>
      <c r="B11" s="2">
        <v>-0.99099999999999999</v>
      </c>
      <c r="C11" s="2">
        <v>2.2650000000000001</v>
      </c>
      <c r="L11" s="6">
        <v>0.15</v>
      </c>
      <c r="M11" s="6">
        <v>-0.99099999999999999</v>
      </c>
      <c r="N11" s="6">
        <v>2.2650000000000001</v>
      </c>
    </row>
    <row r="12" spans="1:14" x14ac:dyDescent="0.3">
      <c r="A12" s="2">
        <v>0.16700000000000001</v>
      </c>
      <c r="B12" s="2">
        <v>-1.2609999999999999</v>
      </c>
      <c r="C12" s="2">
        <v>2.246</v>
      </c>
    </row>
    <row r="13" spans="1:14" x14ac:dyDescent="0.3">
      <c r="A13" s="2">
        <v>0.183</v>
      </c>
      <c r="B13" s="2">
        <v>-1.3959999999999999</v>
      </c>
      <c r="C13" s="2">
        <v>2.2229999999999999</v>
      </c>
    </row>
    <row r="14" spans="1:14" x14ac:dyDescent="0.3">
      <c r="A14" s="2">
        <v>0.2</v>
      </c>
      <c r="B14" s="2">
        <v>-1.621</v>
      </c>
      <c r="C14" s="2">
        <v>2.1989999999999998</v>
      </c>
    </row>
    <row r="15" spans="1:14" x14ac:dyDescent="0.3">
      <c r="A15" s="2">
        <v>0.217</v>
      </c>
      <c r="B15" s="2">
        <v>-1.5760000000000001</v>
      </c>
      <c r="C15" s="2">
        <v>2.169</v>
      </c>
    </row>
    <row r="16" spans="1:14" x14ac:dyDescent="0.3">
      <c r="A16" s="2">
        <v>0.23300000000000001</v>
      </c>
      <c r="B16" s="2">
        <v>-1.3959999999999999</v>
      </c>
      <c r="C16" s="2">
        <v>2.1469999999999998</v>
      </c>
    </row>
    <row r="17" spans="1:3" x14ac:dyDescent="0.3">
      <c r="A17" s="2">
        <v>0.25</v>
      </c>
      <c r="B17" s="2">
        <v>-1.486</v>
      </c>
      <c r="C17" s="2">
        <v>2.1230000000000002</v>
      </c>
    </row>
    <row r="18" spans="1:3" x14ac:dyDescent="0.3">
      <c r="A18" s="2">
        <v>0.26700000000000002</v>
      </c>
      <c r="B18" s="2">
        <v>-1.5760000000000001</v>
      </c>
      <c r="C18" s="2">
        <v>2.097</v>
      </c>
    </row>
    <row r="19" spans="1:3" x14ac:dyDescent="0.3">
      <c r="A19" s="2">
        <v>0.28299999999999997</v>
      </c>
      <c r="B19" s="2">
        <v>-1.7110000000000001</v>
      </c>
      <c r="C19" s="2">
        <v>2.0699999999999998</v>
      </c>
    </row>
    <row r="20" spans="1:3" x14ac:dyDescent="0.3">
      <c r="A20" s="2">
        <v>0.3</v>
      </c>
      <c r="B20" s="2">
        <v>-1.7110000000000001</v>
      </c>
      <c r="C20" s="2">
        <v>2.04</v>
      </c>
    </row>
    <row r="21" spans="1:3" x14ac:dyDescent="0.3">
      <c r="A21" s="2">
        <v>0.317</v>
      </c>
      <c r="B21" s="2">
        <v>-1.6659999999999999</v>
      </c>
      <c r="C21" s="2">
        <v>2.0129999999999999</v>
      </c>
    </row>
    <row r="22" spans="1:3" x14ac:dyDescent="0.3">
      <c r="A22" s="2">
        <v>0.33300000000000002</v>
      </c>
      <c r="B22" s="2">
        <v>-1.621</v>
      </c>
      <c r="C22" s="2">
        <v>1.9850000000000001</v>
      </c>
    </row>
    <row r="23" spans="1:3" x14ac:dyDescent="0.3">
      <c r="A23" s="2">
        <v>0.35</v>
      </c>
      <c r="B23" s="2">
        <v>-1.486</v>
      </c>
      <c r="C23" s="2">
        <v>1.9590000000000001</v>
      </c>
    </row>
    <row r="24" spans="1:3" x14ac:dyDescent="0.3">
      <c r="A24" s="2">
        <v>0.36699999999999999</v>
      </c>
      <c r="B24" s="2">
        <v>-1.6659999999999999</v>
      </c>
      <c r="C24" s="2">
        <v>1.9350000000000001</v>
      </c>
    </row>
    <row r="25" spans="1:3" x14ac:dyDescent="0.3">
      <c r="A25" s="2">
        <v>0.38300000000000001</v>
      </c>
      <c r="B25" s="2">
        <v>-1.982</v>
      </c>
      <c r="C25" s="2">
        <v>1.9039999999999999</v>
      </c>
    </row>
    <row r="26" spans="1:3" x14ac:dyDescent="0.3">
      <c r="A26" s="2">
        <v>0.4</v>
      </c>
      <c r="B26" s="2">
        <v>-2.2069999999999999</v>
      </c>
      <c r="C26" s="2">
        <v>1.869</v>
      </c>
    </row>
    <row r="27" spans="1:3" x14ac:dyDescent="0.3">
      <c r="A27" s="2">
        <v>0.41699999999999998</v>
      </c>
      <c r="B27" s="2">
        <v>-2.4319999999999999</v>
      </c>
      <c r="C27" s="2">
        <v>1.83</v>
      </c>
    </row>
    <row r="28" spans="1:3" x14ac:dyDescent="0.3">
      <c r="A28" s="2">
        <v>0.433</v>
      </c>
      <c r="B28" s="2">
        <v>-2.117</v>
      </c>
      <c r="C28" s="2">
        <v>1.788</v>
      </c>
    </row>
    <row r="29" spans="1:3" x14ac:dyDescent="0.3">
      <c r="A29" s="2">
        <v>0.45</v>
      </c>
      <c r="B29" s="2">
        <v>-2.0270000000000001</v>
      </c>
      <c r="C29" s="2">
        <v>1.7589999999999999</v>
      </c>
    </row>
    <row r="30" spans="1:3" x14ac:dyDescent="0.3">
      <c r="A30" s="2">
        <v>0.46700000000000003</v>
      </c>
      <c r="B30" s="2">
        <v>-2.657</v>
      </c>
      <c r="C30" s="2">
        <v>1.72</v>
      </c>
    </row>
    <row r="31" spans="1:3" x14ac:dyDescent="0.3">
      <c r="A31" s="2">
        <v>0.48299999999999998</v>
      </c>
      <c r="B31" s="2">
        <v>-2.8820000000000001</v>
      </c>
      <c r="C31" s="2">
        <v>1.671</v>
      </c>
    </row>
    <row r="32" spans="1:3" x14ac:dyDescent="0.3">
      <c r="A32" s="2">
        <v>0.5</v>
      </c>
      <c r="B32" s="2">
        <v>-1.6659999999999999</v>
      </c>
      <c r="C32" s="2">
        <v>1.6240000000000001</v>
      </c>
    </row>
    <row r="33" spans="1:3" x14ac:dyDescent="0.3">
      <c r="A33" s="2">
        <v>0.51700000000000002</v>
      </c>
      <c r="B33" s="2">
        <v>-1.847</v>
      </c>
      <c r="C33" s="2">
        <v>1.615</v>
      </c>
    </row>
    <row r="34" spans="1:3" x14ac:dyDescent="0.3">
      <c r="A34" s="2">
        <v>0.53300000000000003</v>
      </c>
      <c r="B34" s="2">
        <v>-2.702</v>
      </c>
      <c r="C34" s="2">
        <v>1.5629999999999999</v>
      </c>
    </row>
    <row r="35" spans="1:3" x14ac:dyDescent="0.3">
      <c r="A35" s="2">
        <v>0.55000000000000004</v>
      </c>
      <c r="B35" s="2">
        <v>-2.387</v>
      </c>
      <c r="C35" s="2">
        <v>1.5249999999999999</v>
      </c>
    </row>
    <row r="36" spans="1:3" x14ac:dyDescent="0.3">
      <c r="A36" s="2">
        <v>0.56699999999999995</v>
      </c>
      <c r="B36" s="2">
        <v>-2.3420000000000001</v>
      </c>
      <c r="C36" s="2">
        <v>1.4830000000000001</v>
      </c>
    </row>
    <row r="37" spans="1:3" x14ac:dyDescent="0.3">
      <c r="A37" s="2">
        <v>0.58299999999999996</v>
      </c>
      <c r="B37" s="2">
        <v>-2.2970000000000002</v>
      </c>
      <c r="C37" s="2">
        <v>1.4470000000000001</v>
      </c>
    </row>
    <row r="38" spans="1:3" x14ac:dyDescent="0.3">
      <c r="A38" s="2">
        <v>0.6</v>
      </c>
      <c r="B38" s="2">
        <v>-1.8919999999999999</v>
      </c>
      <c r="C38" s="2">
        <v>1.407</v>
      </c>
    </row>
    <row r="39" spans="1:3" x14ac:dyDescent="0.3">
      <c r="A39" s="2">
        <v>0.61699999999999999</v>
      </c>
      <c r="B39" s="2">
        <v>-1.4410000000000001</v>
      </c>
      <c r="C39" s="2">
        <v>1.3839999999999999</v>
      </c>
    </row>
    <row r="40" spans="1:3" x14ac:dyDescent="0.3">
      <c r="A40" s="2">
        <v>0.63300000000000001</v>
      </c>
      <c r="B40" s="2">
        <v>-2.4319999999999999</v>
      </c>
      <c r="C40" s="2">
        <v>1.359</v>
      </c>
    </row>
    <row r="41" spans="1:3" x14ac:dyDescent="0.3">
      <c r="A41" s="2">
        <v>0.65</v>
      </c>
      <c r="B41" s="2">
        <v>-3.0630000000000002</v>
      </c>
      <c r="C41" s="2">
        <v>1.3029999999999999</v>
      </c>
    </row>
    <row r="42" spans="1:3" x14ac:dyDescent="0.3">
      <c r="A42" s="2">
        <v>0.66700000000000004</v>
      </c>
      <c r="B42" s="2">
        <v>-2.5670000000000002</v>
      </c>
      <c r="C42" s="2">
        <v>1.2569999999999999</v>
      </c>
    </row>
    <row r="43" spans="1:3" x14ac:dyDescent="0.3">
      <c r="A43" s="2">
        <v>0.68300000000000005</v>
      </c>
      <c r="B43" s="2">
        <v>-1.982</v>
      </c>
      <c r="C43" s="2">
        <v>1.2170000000000001</v>
      </c>
    </row>
    <row r="44" spans="1:3" x14ac:dyDescent="0.3">
      <c r="A44" s="2">
        <v>0.7</v>
      </c>
      <c r="B44" s="2">
        <v>-1.7110000000000001</v>
      </c>
      <c r="C44" s="2">
        <v>1.19</v>
      </c>
    </row>
    <row r="45" spans="1:3" x14ac:dyDescent="0.3">
      <c r="A45" s="2">
        <v>0.71699999999999997</v>
      </c>
      <c r="B45" s="2">
        <v>-2.1619999999999999</v>
      </c>
      <c r="C45" s="2">
        <v>1.1599999999999999</v>
      </c>
    </row>
    <row r="46" spans="1:3" x14ac:dyDescent="0.3">
      <c r="A46" s="2">
        <v>0.73299999999999998</v>
      </c>
      <c r="B46" s="2">
        <v>-2.7469999999999999</v>
      </c>
      <c r="C46" s="2">
        <v>1.1180000000000001</v>
      </c>
    </row>
    <row r="47" spans="1:3" x14ac:dyDescent="0.3">
      <c r="A47" s="2">
        <v>0.75</v>
      </c>
      <c r="B47" s="2">
        <v>-2.4319999999999999</v>
      </c>
      <c r="C47" s="2">
        <v>1.069</v>
      </c>
    </row>
    <row r="48" spans="1:3" x14ac:dyDescent="0.3">
      <c r="A48" s="2">
        <v>0.76700000000000002</v>
      </c>
      <c r="B48" s="2">
        <v>-1.7569999999999999</v>
      </c>
      <c r="C48" s="2">
        <v>1.0369999999999999</v>
      </c>
    </row>
    <row r="49" spans="1:3" x14ac:dyDescent="0.3">
      <c r="A49" s="2">
        <v>0.78300000000000003</v>
      </c>
      <c r="B49" s="2">
        <v>-1.802</v>
      </c>
      <c r="C49" s="2">
        <v>1.01</v>
      </c>
    </row>
    <row r="50" spans="1:3" x14ac:dyDescent="0.3">
      <c r="A50" s="2">
        <v>0.8</v>
      </c>
      <c r="B50" s="2">
        <v>-2.0270000000000001</v>
      </c>
      <c r="C50" s="2">
        <v>0.97699999999999998</v>
      </c>
    </row>
    <row r="51" spans="1:3" x14ac:dyDescent="0.3">
      <c r="A51" s="2">
        <v>0.81699999999999995</v>
      </c>
      <c r="B51" s="2">
        <v>-2.2519999999999998</v>
      </c>
      <c r="C51" s="2">
        <v>0.94299999999999995</v>
      </c>
    </row>
    <row r="52" spans="1:3" x14ac:dyDescent="0.3">
      <c r="A52" s="2">
        <v>0.83299999999999996</v>
      </c>
      <c r="B52" s="2">
        <v>-2.117</v>
      </c>
      <c r="C52" s="2">
        <v>0.90200000000000002</v>
      </c>
    </row>
    <row r="53" spans="1:3" x14ac:dyDescent="0.3">
      <c r="A53" s="2">
        <v>0.85</v>
      </c>
      <c r="B53" s="2">
        <v>-1.621</v>
      </c>
      <c r="C53" s="2">
        <v>0.872</v>
      </c>
    </row>
    <row r="54" spans="1:3" x14ac:dyDescent="0.3">
      <c r="A54" s="2">
        <v>0.86699999999999999</v>
      </c>
      <c r="B54" s="2">
        <v>-1.6659999999999999</v>
      </c>
      <c r="C54" s="2">
        <v>0.84799999999999998</v>
      </c>
    </row>
    <row r="55" spans="1:3" x14ac:dyDescent="0.3">
      <c r="A55" s="2">
        <v>0.88300000000000001</v>
      </c>
      <c r="B55" s="2">
        <v>-2.2069999999999999</v>
      </c>
      <c r="C55" s="2">
        <v>0.81699999999999995</v>
      </c>
    </row>
    <row r="56" spans="1:3" x14ac:dyDescent="0.3">
      <c r="A56" s="2">
        <v>0.9</v>
      </c>
      <c r="B56" s="2">
        <v>-2.2970000000000002</v>
      </c>
      <c r="C56" s="2">
        <v>0.77500000000000002</v>
      </c>
    </row>
    <row r="57" spans="1:3" x14ac:dyDescent="0.3">
      <c r="A57" s="2">
        <v>0.91700000000000004</v>
      </c>
      <c r="B57" s="2">
        <v>-1.982</v>
      </c>
      <c r="C57" s="2">
        <v>0.74</v>
      </c>
    </row>
    <row r="58" spans="1:3" x14ac:dyDescent="0.3">
      <c r="A58" s="2">
        <v>0.93300000000000005</v>
      </c>
      <c r="B58" s="2">
        <v>-1.621</v>
      </c>
      <c r="C58" s="2">
        <v>0.70899999999999996</v>
      </c>
    </row>
    <row r="59" spans="1:3" x14ac:dyDescent="0.3">
      <c r="A59" s="2">
        <v>0.95</v>
      </c>
      <c r="B59" s="2">
        <v>-1.621</v>
      </c>
      <c r="C59" s="2">
        <v>0.68600000000000005</v>
      </c>
    </row>
    <row r="60" spans="1:3" x14ac:dyDescent="0.3">
      <c r="A60" s="2">
        <v>0.96699999999999997</v>
      </c>
      <c r="B60" s="2">
        <v>-1.7110000000000001</v>
      </c>
      <c r="C60" s="2">
        <v>0.65500000000000003</v>
      </c>
    </row>
    <row r="61" spans="1:3" x14ac:dyDescent="0.3">
      <c r="A61" s="2">
        <v>0.98299999999999998</v>
      </c>
      <c r="B61" s="2">
        <v>-1.8919999999999999</v>
      </c>
      <c r="C61" s="2">
        <v>0.629</v>
      </c>
    </row>
    <row r="62" spans="1:3" x14ac:dyDescent="0.3">
      <c r="A62" s="2">
        <v>1</v>
      </c>
      <c r="B62" s="2">
        <v>-2.0270000000000001</v>
      </c>
      <c r="C62" s="2">
        <v>0.59099999999999997</v>
      </c>
    </row>
    <row r="63" spans="1:3" x14ac:dyDescent="0.3">
      <c r="A63" s="2">
        <v>1.0169999999999999</v>
      </c>
      <c r="B63" s="2">
        <v>-1.9370000000000001</v>
      </c>
      <c r="C63" s="2">
        <v>0.56100000000000005</v>
      </c>
    </row>
    <row r="64" spans="1:3" x14ac:dyDescent="0.3">
      <c r="A64" s="2">
        <v>1.0329999999999999</v>
      </c>
      <c r="B64" s="2">
        <v>-2.2069999999999999</v>
      </c>
      <c r="C64" s="2">
        <v>0.52700000000000002</v>
      </c>
    </row>
    <row r="65" spans="1:3" x14ac:dyDescent="0.3">
      <c r="A65" s="2">
        <v>1.05</v>
      </c>
      <c r="B65" s="2">
        <v>-1.9370000000000001</v>
      </c>
      <c r="C65" s="2">
        <v>0.48799999999999999</v>
      </c>
    </row>
    <row r="66" spans="1:3" x14ac:dyDescent="0.3">
      <c r="A66" s="2">
        <v>1.0669999999999999</v>
      </c>
      <c r="B66" s="2">
        <v>-1.6659999999999999</v>
      </c>
      <c r="C66" s="2">
        <v>0.46200000000000002</v>
      </c>
    </row>
    <row r="67" spans="1:3" x14ac:dyDescent="0.3">
      <c r="A67" s="2">
        <v>1.083</v>
      </c>
      <c r="B67" s="2">
        <v>-2.0270000000000001</v>
      </c>
      <c r="C67" s="2">
        <v>0.432</v>
      </c>
    </row>
    <row r="68" spans="1:3" x14ac:dyDescent="0.3">
      <c r="A68" s="2">
        <v>1.1000000000000001</v>
      </c>
      <c r="B68" s="2">
        <v>-1.7569999999999999</v>
      </c>
      <c r="C68" s="2">
        <v>0.39500000000000002</v>
      </c>
    </row>
    <row r="69" spans="1:3" x14ac:dyDescent="0.3">
      <c r="A69" s="2">
        <v>1.117</v>
      </c>
      <c r="B69" s="2">
        <v>-1.982</v>
      </c>
      <c r="C69" s="2">
        <v>0.374</v>
      </c>
    </row>
    <row r="70" spans="1:3" x14ac:dyDescent="0.3">
      <c r="A70" s="2">
        <v>1.133</v>
      </c>
      <c r="B70" s="2">
        <v>-2.5670000000000002</v>
      </c>
      <c r="C70" s="2">
        <v>0.32900000000000001</v>
      </c>
    </row>
    <row r="71" spans="1:3" x14ac:dyDescent="0.3">
      <c r="A71" s="2">
        <v>1.1499999999999999</v>
      </c>
      <c r="B71" s="2">
        <v>-1.847</v>
      </c>
      <c r="C71" s="2">
        <v>0.28799999999999998</v>
      </c>
    </row>
    <row r="72" spans="1:3" x14ac:dyDescent="0.3">
      <c r="A72" s="2">
        <v>1.167</v>
      </c>
      <c r="B72" s="2">
        <v>-1.6659999999999999</v>
      </c>
      <c r="C72" s="2">
        <v>0.26700000000000002</v>
      </c>
    </row>
    <row r="73" spans="1:3" x14ac:dyDescent="0.3">
      <c r="A73" s="2">
        <v>1.1830000000000001</v>
      </c>
      <c r="B73" s="2">
        <v>-2.8370000000000002</v>
      </c>
      <c r="C73" s="2">
        <v>0.23300000000000001</v>
      </c>
    </row>
    <row r="74" spans="1:3" x14ac:dyDescent="0.3">
      <c r="A74" s="2">
        <v>1.2</v>
      </c>
      <c r="B74" s="2">
        <v>-2.657</v>
      </c>
      <c r="C74" s="2">
        <v>0.17299999999999999</v>
      </c>
    </row>
    <row r="75" spans="1:3" x14ac:dyDescent="0.3">
      <c r="A75" s="2">
        <v>1.2170000000000001</v>
      </c>
      <c r="B75" s="2">
        <v>-1.802</v>
      </c>
      <c r="C75" s="2">
        <v>0.14399999999999999</v>
      </c>
    </row>
    <row r="76" spans="1:3" x14ac:dyDescent="0.3">
      <c r="A76" s="2">
        <v>1.2330000000000001</v>
      </c>
      <c r="B76" s="2">
        <v>-2.1619999999999999</v>
      </c>
      <c r="C76" s="2">
        <v>0.113</v>
      </c>
    </row>
    <row r="77" spans="1:3" x14ac:dyDescent="0.3">
      <c r="A77" s="2">
        <v>1.25</v>
      </c>
      <c r="B77" s="2">
        <v>-1.5309999999999999</v>
      </c>
      <c r="C77" s="2">
        <v>7.2010000000000005E-2</v>
      </c>
    </row>
    <row r="78" spans="1:3" x14ac:dyDescent="0.3">
      <c r="A78" s="2">
        <v>1.2669999999999999</v>
      </c>
      <c r="B78" s="2">
        <v>-1.171</v>
      </c>
      <c r="C78" s="2">
        <v>6.1499999999999999E-2</v>
      </c>
    </row>
    <row r="79" spans="1:3" x14ac:dyDescent="0.3">
      <c r="A79" s="2">
        <v>1.2829999999999999</v>
      </c>
      <c r="B79" s="2">
        <v>-1.847</v>
      </c>
      <c r="C79" s="2">
        <v>3.2980000000000002E-2</v>
      </c>
    </row>
    <row r="80" spans="1:3" x14ac:dyDescent="0.3">
      <c r="A80" s="2">
        <v>1.3</v>
      </c>
      <c r="B80" s="2"/>
      <c r="C80" s="2">
        <v>-5.3140000000000003E-5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4F3B0-6CB6-6C49-B2A2-F2BBD8ED50EA}">
  <dimension ref="A1:N55"/>
  <sheetViews>
    <sheetView zoomScale="85" zoomScaleNormal="85" workbookViewId="0">
      <selection activeCell="C3" sqref="C3"/>
    </sheetView>
  </sheetViews>
  <sheetFormatPr defaultColWidth="11.19921875" defaultRowHeight="15.6" x14ac:dyDescent="0.3"/>
  <cols>
    <col min="2" max="2" width="13.796875" customWidth="1"/>
    <col min="3" max="4" width="13" customWidth="1"/>
    <col min="7" max="7" width="19.8984375" customWidth="1"/>
    <col min="12" max="12" width="8.5" customWidth="1"/>
    <col min="13" max="13" width="13.796875" customWidth="1"/>
    <col min="14" max="14" width="12.8984375" customWidth="1"/>
  </cols>
  <sheetData>
    <row r="1" spans="1:14" x14ac:dyDescent="0.3">
      <c r="A1" s="1" t="s">
        <v>0</v>
      </c>
      <c r="B1" s="1" t="s">
        <v>11</v>
      </c>
      <c r="C1" t="s">
        <v>17</v>
      </c>
      <c r="D1" s="1" t="s">
        <v>10</v>
      </c>
      <c r="F1" t="s">
        <v>1</v>
      </c>
      <c r="G1" t="s">
        <v>5</v>
      </c>
      <c r="H1" t="s">
        <v>2</v>
      </c>
      <c r="L1" s="7" t="s">
        <v>0</v>
      </c>
      <c r="M1" s="8" t="s">
        <v>11</v>
      </c>
      <c r="N1" s="9" t="s">
        <v>10</v>
      </c>
    </row>
    <row r="2" spans="1:14" x14ac:dyDescent="0.3">
      <c r="A2" s="4">
        <v>0</v>
      </c>
      <c r="B2" s="4">
        <v>0</v>
      </c>
      <c r="C2" s="4">
        <f>0</f>
        <v>0</v>
      </c>
      <c r="D2" s="4">
        <v>2.2970000000000002</v>
      </c>
      <c r="E2" s="4"/>
      <c r="F2" s="4">
        <v>-9.81</v>
      </c>
      <c r="G2" s="4">
        <v>-3.11</v>
      </c>
      <c r="H2" s="4">
        <f>G2/F2</f>
        <v>0.31702344546381239</v>
      </c>
      <c r="L2" s="10">
        <v>0</v>
      </c>
      <c r="M2" s="11">
        <v>0</v>
      </c>
      <c r="N2" s="12">
        <v>2.2970000000000002</v>
      </c>
    </row>
    <row r="3" spans="1:14" x14ac:dyDescent="0.3">
      <c r="A3" s="4">
        <v>1.7000000000000001E-2</v>
      </c>
      <c r="B3" s="4">
        <v>0.53900000000000003</v>
      </c>
      <c r="C3" s="4">
        <f t="shared" ref="C3:C54" si="0" xml:space="preserve"> (G3 * (1 - EXP(2*A3/H3)) / (1 + EXP(2*A3/H3)))</f>
        <v>0.1666103339725877</v>
      </c>
      <c r="D3" s="4">
        <v>2.2829999999999999</v>
      </c>
      <c r="E3" s="4"/>
      <c r="F3" s="4">
        <v>-9.81</v>
      </c>
      <c r="G3" s="4">
        <v>-3.11</v>
      </c>
      <c r="H3" s="4">
        <f t="shared" ref="H3:H54" si="1">G3/F3</f>
        <v>0.31702344546381239</v>
      </c>
      <c r="L3" s="10">
        <v>1.7000000000000001E-2</v>
      </c>
      <c r="M3" s="11">
        <v>0.53900000000000003</v>
      </c>
      <c r="N3" s="12">
        <v>2.2829999999999999</v>
      </c>
    </row>
    <row r="4" spans="1:14" x14ac:dyDescent="0.3">
      <c r="A4" s="4">
        <v>3.3000000000000002E-2</v>
      </c>
      <c r="B4" s="4">
        <v>0.58799999999999997</v>
      </c>
      <c r="C4" s="4">
        <f t="shared" si="0"/>
        <v>0.3225657971167743</v>
      </c>
      <c r="D4" s="4">
        <v>2.2789999999999999</v>
      </c>
      <c r="E4" s="4"/>
      <c r="F4" s="4">
        <v>-9.81</v>
      </c>
      <c r="G4" s="4">
        <v>-3.11</v>
      </c>
      <c r="H4" s="4">
        <f t="shared" si="1"/>
        <v>0.31702344546381239</v>
      </c>
      <c r="L4" s="10">
        <v>3.3000000000000002E-2</v>
      </c>
      <c r="M4" s="11">
        <v>0.58799999999999997</v>
      </c>
      <c r="N4" s="12">
        <v>2.2789999999999999</v>
      </c>
    </row>
    <row r="5" spans="1:14" x14ac:dyDescent="0.3">
      <c r="A5" s="4">
        <v>0.05</v>
      </c>
      <c r="B5" s="4">
        <v>1.175</v>
      </c>
      <c r="C5" s="4">
        <f t="shared" si="0"/>
        <v>0.48647305504993515</v>
      </c>
      <c r="D5" s="4">
        <v>2.2629999999999999</v>
      </c>
      <c r="E5" s="4"/>
      <c r="F5" s="4">
        <v>-9.81</v>
      </c>
      <c r="G5" s="4">
        <v>-3.11</v>
      </c>
      <c r="H5" s="4">
        <f t="shared" si="1"/>
        <v>0.31702344546381239</v>
      </c>
      <c r="L5" s="10">
        <v>0.05</v>
      </c>
      <c r="M5" s="11">
        <v>1.175</v>
      </c>
      <c r="N5" s="12">
        <v>2.2629999999999999</v>
      </c>
    </row>
    <row r="6" spans="1:14" x14ac:dyDescent="0.3">
      <c r="A6" s="4">
        <v>6.7000000000000004E-2</v>
      </c>
      <c r="B6" s="4">
        <v>1.5669999999999999</v>
      </c>
      <c r="C6" s="4">
        <f t="shared" si="0"/>
        <v>0.64765608193505197</v>
      </c>
      <c r="D6" s="4">
        <v>2.2400000000000002</v>
      </c>
      <c r="E6" s="4"/>
      <c r="F6" s="4">
        <v>-9.81</v>
      </c>
      <c r="G6" s="4">
        <v>-3.11</v>
      </c>
      <c r="H6" s="4">
        <f t="shared" si="1"/>
        <v>0.31702344546381239</v>
      </c>
      <c r="L6" s="10">
        <v>6.7000000000000004E-2</v>
      </c>
      <c r="M6" s="11">
        <v>1.5669999999999999</v>
      </c>
      <c r="N6" s="12">
        <v>2.2400000000000002</v>
      </c>
    </row>
    <row r="7" spans="1:14" x14ac:dyDescent="0.3">
      <c r="A7" s="4">
        <v>8.3000000000000004E-2</v>
      </c>
      <c r="B7" s="4">
        <v>1.2130000000000001</v>
      </c>
      <c r="C7" s="4">
        <f t="shared" si="0"/>
        <v>0.79612260686693093</v>
      </c>
      <c r="D7" s="4">
        <v>2.2109999999999999</v>
      </c>
      <c r="E7" s="4"/>
      <c r="F7" s="4">
        <v>-9.81</v>
      </c>
      <c r="G7" s="4">
        <v>-3.11</v>
      </c>
      <c r="H7" s="4">
        <f t="shared" si="1"/>
        <v>0.31702344546381239</v>
      </c>
      <c r="L7" s="10">
        <v>8.3000000000000004E-2</v>
      </c>
      <c r="M7" s="11">
        <v>1.2130000000000001</v>
      </c>
      <c r="N7" s="12">
        <v>2.2109999999999999</v>
      </c>
    </row>
    <row r="8" spans="1:14" x14ac:dyDescent="0.3">
      <c r="A8" s="4">
        <v>0.10199999999999999</v>
      </c>
      <c r="B8" s="4">
        <v>1.2130000000000001</v>
      </c>
      <c r="C8" s="4">
        <f t="shared" si="0"/>
        <v>0.96746467158651583</v>
      </c>
      <c r="D8" s="4">
        <v>2.198</v>
      </c>
      <c r="E8" s="4"/>
      <c r="F8" s="4">
        <v>-9.81</v>
      </c>
      <c r="G8" s="4">
        <v>-3.11</v>
      </c>
      <c r="H8" s="4">
        <f t="shared" si="1"/>
        <v>0.31702344546381239</v>
      </c>
      <c r="L8" s="10">
        <v>0.10199999999999999</v>
      </c>
      <c r="M8" s="11">
        <v>1.2130000000000001</v>
      </c>
      <c r="N8" s="12">
        <v>2.198</v>
      </c>
    </row>
    <row r="9" spans="1:14" x14ac:dyDescent="0.3">
      <c r="A9" s="4">
        <v>0.11799999999999999</v>
      </c>
      <c r="B9" s="4">
        <v>1.665</v>
      </c>
      <c r="C9" s="4">
        <f t="shared" si="0"/>
        <v>1.1069273733443883</v>
      </c>
      <c r="D9" s="4">
        <v>2.1680000000000001</v>
      </c>
      <c r="E9" s="4"/>
      <c r="F9" s="4">
        <v>-9.81</v>
      </c>
      <c r="G9" s="4">
        <v>-3.11</v>
      </c>
      <c r="H9" s="4">
        <f t="shared" si="1"/>
        <v>0.31702344546381239</v>
      </c>
      <c r="L9" s="10">
        <v>0.11799999999999999</v>
      </c>
      <c r="M9" s="11">
        <v>1.665</v>
      </c>
      <c r="N9" s="12">
        <v>2.1680000000000001</v>
      </c>
    </row>
    <row r="10" spans="1:14" x14ac:dyDescent="0.3">
      <c r="A10" s="4">
        <v>0.13500000000000001</v>
      </c>
      <c r="B10" s="4">
        <v>1.714</v>
      </c>
      <c r="C10" s="4">
        <f t="shared" si="0"/>
        <v>1.2497085316480552</v>
      </c>
      <c r="D10" s="4">
        <v>2.1419999999999999</v>
      </c>
      <c r="E10" s="4"/>
      <c r="F10" s="4">
        <v>-9.81</v>
      </c>
      <c r="G10" s="4">
        <v>-3.11</v>
      </c>
      <c r="H10" s="4">
        <f t="shared" si="1"/>
        <v>0.31702344546381239</v>
      </c>
      <c r="L10" s="10">
        <v>0.13500000000000001</v>
      </c>
      <c r="M10" s="11">
        <v>1.714</v>
      </c>
      <c r="N10" s="12">
        <v>2.1419999999999999</v>
      </c>
    </row>
    <row r="11" spans="1:14" x14ac:dyDescent="0.3">
      <c r="A11" s="4">
        <v>0.152</v>
      </c>
      <c r="B11" s="4">
        <v>1.861</v>
      </c>
      <c r="C11" s="4">
        <f t="shared" si="0"/>
        <v>1.3864718476382742</v>
      </c>
      <c r="D11" s="4">
        <v>2.1110000000000002</v>
      </c>
      <c r="E11" s="4"/>
      <c r="F11" s="4">
        <v>-9.81</v>
      </c>
      <c r="G11" s="4">
        <v>-3.11</v>
      </c>
      <c r="H11" s="4">
        <f t="shared" si="1"/>
        <v>0.31702344546381239</v>
      </c>
      <c r="L11" s="10">
        <v>0.152</v>
      </c>
      <c r="M11" s="11">
        <v>1.861</v>
      </c>
      <c r="N11" s="12">
        <v>2.1110000000000002</v>
      </c>
    </row>
    <row r="12" spans="1:14" x14ac:dyDescent="0.3">
      <c r="A12" s="4">
        <v>0.16800000000000001</v>
      </c>
      <c r="B12" s="4">
        <v>1.7629999999999999</v>
      </c>
      <c r="C12" s="4">
        <f t="shared" si="0"/>
        <v>1.5093670168652784</v>
      </c>
      <c r="D12" s="4">
        <v>2.08</v>
      </c>
      <c r="E12" s="4"/>
      <c r="F12" s="4">
        <v>-9.81</v>
      </c>
      <c r="G12" s="4">
        <v>-3.11</v>
      </c>
      <c r="H12" s="4">
        <f t="shared" si="1"/>
        <v>0.31702344546381239</v>
      </c>
    </row>
    <row r="13" spans="1:14" x14ac:dyDescent="0.3">
      <c r="A13" s="4">
        <v>0.185</v>
      </c>
      <c r="B13" s="4">
        <v>1.7629999999999999</v>
      </c>
      <c r="C13" s="4">
        <f t="shared" si="0"/>
        <v>1.6335059359476833</v>
      </c>
      <c r="D13" s="4">
        <v>2.052</v>
      </c>
      <c r="E13" s="4"/>
      <c r="F13" s="4">
        <v>-9.81</v>
      </c>
      <c r="G13" s="4">
        <v>-3.11</v>
      </c>
      <c r="H13" s="4">
        <f t="shared" si="1"/>
        <v>0.31702344546381239</v>
      </c>
    </row>
    <row r="14" spans="1:14" x14ac:dyDescent="0.3">
      <c r="A14" s="4">
        <v>0.20200000000000001</v>
      </c>
      <c r="B14" s="4">
        <v>1.91</v>
      </c>
      <c r="C14" s="4">
        <f t="shared" si="0"/>
        <v>1.7508498750521748</v>
      </c>
      <c r="D14" s="4">
        <v>2.0209999999999999</v>
      </c>
      <c r="E14" s="4"/>
      <c r="F14" s="4">
        <v>-9.81</v>
      </c>
      <c r="G14" s="4">
        <v>-3.11</v>
      </c>
      <c r="H14" s="4">
        <f t="shared" si="1"/>
        <v>0.31702344546381239</v>
      </c>
    </row>
    <row r="15" spans="1:14" x14ac:dyDescent="0.3">
      <c r="A15" s="4">
        <v>0.218</v>
      </c>
      <c r="B15" s="4">
        <v>2.008</v>
      </c>
      <c r="C15" s="4">
        <f t="shared" si="0"/>
        <v>1.8550149060158729</v>
      </c>
      <c r="D15" s="4">
        <v>1.9890000000000001</v>
      </c>
      <c r="E15" s="4"/>
      <c r="F15" s="4">
        <v>-9.81</v>
      </c>
      <c r="G15" s="4">
        <v>-3.11</v>
      </c>
      <c r="H15" s="4">
        <f t="shared" si="1"/>
        <v>0.31702344546381239</v>
      </c>
    </row>
    <row r="16" spans="1:14" x14ac:dyDescent="0.3">
      <c r="A16" s="4">
        <v>0.23499999999999999</v>
      </c>
      <c r="B16" s="4">
        <v>2.4</v>
      </c>
      <c r="C16" s="4">
        <f t="shared" si="0"/>
        <v>1.9590260418943271</v>
      </c>
      <c r="D16" s="4">
        <v>1.954</v>
      </c>
      <c r="E16" s="4"/>
      <c r="F16" s="4">
        <v>-9.81</v>
      </c>
      <c r="G16" s="4">
        <v>-3.11</v>
      </c>
      <c r="H16" s="4">
        <f t="shared" si="1"/>
        <v>0.31702344546381239</v>
      </c>
    </row>
    <row r="17" spans="1:8" x14ac:dyDescent="0.3">
      <c r="A17" s="4">
        <v>0.252</v>
      </c>
      <c r="B17" s="4">
        <v>2.694</v>
      </c>
      <c r="C17" s="4">
        <f t="shared" si="0"/>
        <v>2.0562464332899411</v>
      </c>
      <c r="D17" s="4">
        <v>1.909</v>
      </c>
      <c r="E17" s="4"/>
      <c r="F17" s="4">
        <v>-9.81</v>
      </c>
      <c r="G17" s="4">
        <v>-3.11</v>
      </c>
      <c r="H17" s="4">
        <f t="shared" si="1"/>
        <v>0.31702344546381239</v>
      </c>
    </row>
    <row r="18" spans="1:8" x14ac:dyDescent="0.3">
      <c r="A18" s="4">
        <v>0.26800000000000002</v>
      </c>
      <c r="B18" s="4">
        <v>2.4980000000000002</v>
      </c>
      <c r="C18" s="4">
        <f t="shared" si="0"/>
        <v>2.1416685497194421</v>
      </c>
      <c r="D18" s="4">
        <v>1.865</v>
      </c>
      <c r="E18" s="4"/>
      <c r="F18" s="4">
        <v>-9.81</v>
      </c>
      <c r="G18" s="4">
        <v>-3.11</v>
      </c>
      <c r="H18" s="4">
        <f t="shared" si="1"/>
        <v>0.31702344546381239</v>
      </c>
    </row>
    <row r="19" spans="1:8" x14ac:dyDescent="0.3">
      <c r="A19" s="4">
        <v>0.28499999999999998</v>
      </c>
      <c r="B19" s="4">
        <v>2.4489999999999998</v>
      </c>
      <c r="C19" s="4">
        <f t="shared" si="0"/>
        <v>2.2261514735678518</v>
      </c>
      <c r="D19" s="4">
        <v>1.825</v>
      </c>
      <c r="E19" s="4"/>
      <c r="F19" s="4">
        <v>-9.81</v>
      </c>
      <c r="G19" s="4">
        <v>-3.11</v>
      </c>
      <c r="H19" s="4">
        <f t="shared" si="1"/>
        <v>0.31702344546381239</v>
      </c>
    </row>
    <row r="20" spans="1:8" x14ac:dyDescent="0.3">
      <c r="A20" s="4">
        <v>0.30199999999999999</v>
      </c>
      <c r="B20" s="4">
        <v>2.7429999999999999</v>
      </c>
      <c r="C20" s="4">
        <f t="shared" si="0"/>
        <v>2.304394289186301</v>
      </c>
      <c r="D20" s="4">
        <v>1.7829999999999999</v>
      </c>
      <c r="E20" s="4"/>
      <c r="F20" s="4">
        <v>-9.81</v>
      </c>
      <c r="G20" s="4">
        <v>-3.11</v>
      </c>
      <c r="H20" s="4">
        <f t="shared" si="1"/>
        <v>0.31702344546381239</v>
      </c>
    </row>
    <row r="21" spans="1:8" x14ac:dyDescent="0.3">
      <c r="A21" s="4">
        <v>0.318</v>
      </c>
      <c r="B21" s="4">
        <v>3.036</v>
      </c>
      <c r="C21" s="4">
        <f t="shared" si="0"/>
        <v>2.3725717498362346</v>
      </c>
      <c r="D21" s="4">
        <v>1.734</v>
      </c>
      <c r="E21" s="4"/>
      <c r="F21" s="4">
        <v>-9.81</v>
      </c>
      <c r="G21" s="4">
        <v>-3.11</v>
      </c>
      <c r="H21" s="4">
        <f t="shared" si="1"/>
        <v>0.31702344546381239</v>
      </c>
    </row>
    <row r="22" spans="1:8" x14ac:dyDescent="0.3">
      <c r="A22" s="4">
        <v>0.33500000000000002</v>
      </c>
      <c r="B22" s="4">
        <v>2.5960000000000001</v>
      </c>
      <c r="C22" s="4">
        <f t="shared" si="0"/>
        <v>2.4394814251406727</v>
      </c>
      <c r="D22" s="4">
        <v>1.6819999999999999</v>
      </c>
      <c r="E22" s="4"/>
      <c r="F22" s="4">
        <v>-9.81</v>
      </c>
      <c r="G22" s="4">
        <v>-3.11</v>
      </c>
      <c r="H22" s="4">
        <f t="shared" si="1"/>
        <v>0.31702344546381239</v>
      </c>
    </row>
    <row r="23" spans="1:8" x14ac:dyDescent="0.3">
      <c r="A23" s="4">
        <v>0.35199999999999998</v>
      </c>
      <c r="B23" s="4">
        <v>2.1059999999999999</v>
      </c>
      <c r="C23" s="4">
        <f t="shared" si="0"/>
        <v>2.5009944955433396</v>
      </c>
      <c r="D23" s="4">
        <v>1.6479999999999999</v>
      </c>
      <c r="E23" s="4"/>
      <c r="F23" s="4">
        <v>-9.81</v>
      </c>
      <c r="G23" s="4">
        <v>-3.11</v>
      </c>
      <c r="H23" s="4">
        <f t="shared" si="1"/>
        <v>0.31702344546381239</v>
      </c>
    </row>
    <row r="24" spans="1:8" x14ac:dyDescent="0.3">
      <c r="A24" s="4">
        <v>0.36799999999999999</v>
      </c>
      <c r="B24" s="4">
        <v>2.2530000000000001</v>
      </c>
      <c r="C24" s="4">
        <f t="shared" si="0"/>
        <v>2.5542417178782224</v>
      </c>
      <c r="D24" s="4">
        <v>1.6120000000000001</v>
      </c>
      <c r="E24" s="4"/>
      <c r="F24" s="4">
        <v>-9.81</v>
      </c>
      <c r="G24" s="4">
        <v>-3.11</v>
      </c>
      <c r="H24" s="4">
        <f t="shared" si="1"/>
        <v>0.31702344546381239</v>
      </c>
    </row>
    <row r="25" spans="1:8" x14ac:dyDescent="0.3">
      <c r="A25" s="4">
        <v>0.38500000000000001</v>
      </c>
      <c r="B25" s="4">
        <v>2.7919999999999998</v>
      </c>
      <c r="C25" s="4">
        <f t="shared" si="0"/>
        <v>2.6061825354617207</v>
      </c>
      <c r="D25" s="4">
        <v>1.5720000000000001</v>
      </c>
      <c r="E25" s="4"/>
      <c r="F25" s="4">
        <v>-9.81</v>
      </c>
      <c r="G25" s="4">
        <v>-3.11</v>
      </c>
      <c r="H25" s="4">
        <f t="shared" si="1"/>
        <v>0.31702344546381239</v>
      </c>
    </row>
    <row r="26" spans="1:8" x14ac:dyDescent="0.3">
      <c r="A26" s="4">
        <v>0.40200000000000002</v>
      </c>
      <c r="B26" s="4">
        <v>2.9380000000000002</v>
      </c>
      <c r="C26" s="4">
        <f t="shared" si="0"/>
        <v>2.6536600885074688</v>
      </c>
      <c r="D26" s="4">
        <v>1.5189999999999999</v>
      </c>
      <c r="E26" s="4"/>
      <c r="F26" s="4">
        <v>-9.81</v>
      </c>
      <c r="G26" s="4">
        <v>-3.11</v>
      </c>
      <c r="H26" s="4">
        <f t="shared" si="1"/>
        <v>0.31702344546381239</v>
      </c>
    </row>
    <row r="27" spans="1:8" x14ac:dyDescent="0.3">
      <c r="A27" s="4">
        <v>0.41799999999999998</v>
      </c>
      <c r="B27" s="4">
        <v>2.7429999999999999</v>
      </c>
      <c r="C27" s="4">
        <f t="shared" si="0"/>
        <v>2.6945476106971071</v>
      </c>
      <c r="D27" s="4">
        <v>1.4750000000000001</v>
      </c>
      <c r="E27" s="4"/>
      <c r="F27" s="4">
        <v>-9.81</v>
      </c>
      <c r="G27" s="4">
        <v>-3.11</v>
      </c>
      <c r="H27" s="4">
        <f t="shared" si="1"/>
        <v>0.31702344546381239</v>
      </c>
    </row>
    <row r="28" spans="1:8" x14ac:dyDescent="0.3">
      <c r="A28" s="4">
        <v>0.435</v>
      </c>
      <c r="B28" s="4">
        <v>2.8889999999999998</v>
      </c>
      <c r="C28" s="4">
        <f t="shared" si="0"/>
        <v>2.7342454121084563</v>
      </c>
      <c r="D28" s="4">
        <v>1.427</v>
      </c>
      <c r="E28" s="4"/>
      <c r="F28" s="4">
        <v>-9.81</v>
      </c>
      <c r="G28" s="4">
        <v>-3.11</v>
      </c>
      <c r="H28" s="4">
        <f t="shared" si="1"/>
        <v>0.31702344546381239</v>
      </c>
    </row>
    <row r="29" spans="1:8" x14ac:dyDescent="0.3">
      <c r="A29" s="4">
        <v>0.45200000000000001</v>
      </c>
      <c r="B29" s="4">
        <v>2.9870000000000001</v>
      </c>
      <c r="C29" s="4">
        <f t="shared" si="0"/>
        <v>2.7703719077005364</v>
      </c>
      <c r="D29" s="4">
        <v>1.3779999999999999</v>
      </c>
      <c r="E29" s="4"/>
      <c r="F29" s="4">
        <v>-9.81</v>
      </c>
      <c r="G29" s="4">
        <v>-3.11</v>
      </c>
      <c r="H29" s="4">
        <f t="shared" si="1"/>
        <v>0.31702344546381239</v>
      </c>
    </row>
    <row r="30" spans="1:8" x14ac:dyDescent="0.3">
      <c r="A30" s="4">
        <v>0.46800000000000003</v>
      </c>
      <c r="B30" s="4">
        <v>3.085</v>
      </c>
      <c r="C30" s="4">
        <f xml:space="preserve"> (G30 * (1 - EXP(2*A30/H30)) / (1 + EXP(2*A30/H30)))</f>
        <v>2.8013621615921065</v>
      </c>
      <c r="D30" s="4">
        <v>1.3280000000000001</v>
      </c>
      <c r="E30" s="4"/>
      <c r="F30" s="4">
        <v>-9.81</v>
      </c>
      <c r="G30" s="4">
        <v>-3.11</v>
      </c>
      <c r="H30" s="4">
        <f t="shared" si="1"/>
        <v>0.31702344546381239</v>
      </c>
    </row>
    <row r="31" spans="1:8" x14ac:dyDescent="0.3">
      <c r="A31" s="4">
        <v>0.48499999999999999</v>
      </c>
      <c r="B31" s="4">
        <v>3.036</v>
      </c>
      <c r="C31" s="4">
        <f t="shared" si="0"/>
        <v>2.8313434697086359</v>
      </c>
      <c r="D31" s="4">
        <v>1.2749999999999999</v>
      </c>
      <c r="E31" s="4"/>
      <c r="F31" s="4">
        <v>-9.81</v>
      </c>
      <c r="G31" s="4">
        <v>-3.11</v>
      </c>
      <c r="H31" s="4">
        <f t="shared" si="1"/>
        <v>0.31702344546381239</v>
      </c>
    </row>
    <row r="32" spans="1:8" x14ac:dyDescent="0.3">
      <c r="A32" s="4">
        <v>0.502</v>
      </c>
      <c r="B32" s="4">
        <v>2.9870000000000001</v>
      </c>
      <c r="C32" s="4">
        <f t="shared" si="0"/>
        <v>2.8585362623664725</v>
      </c>
      <c r="D32" s="4">
        <v>1.226</v>
      </c>
      <c r="E32" s="4"/>
      <c r="F32" s="4">
        <v>-9.81</v>
      </c>
      <c r="G32" s="4">
        <v>-3.11</v>
      </c>
      <c r="H32" s="4">
        <f t="shared" si="1"/>
        <v>0.31702344546381239</v>
      </c>
    </row>
    <row r="33" spans="1:8" x14ac:dyDescent="0.3">
      <c r="A33" s="4">
        <v>0.51800000000000002</v>
      </c>
      <c r="B33" s="4">
        <v>2.645</v>
      </c>
      <c r="C33" s="4">
        <f t="shared" si="0"/>
        <v>2.881793931957942</v>
      </c>
      <c r="D33" s="4">
        <v>1.1759999999999999</v>
      </c>
      <c r="E33" s="4"/>
      <c r="F33" s="4">
        <v>-9.81</v>
      </c>
      <c r="G33" s="4">
        <v>-3.11</v>
      </c>
      <c r="H33" s="4">
        <f t="shared" si="1"/>
        <v>0.31702344546381239</v>
      </c>
    </row>
    <row r="34" spans="1:8" x14ac:dyDescent="0.3">
      <c r="A34" s="4">
        <v>0.53500000000000003</v>
      </c>
      <c r="B34" s="4">
        <v>2.84</v>
      </c>
      <c r="C34" s="4">
        <f t="shared" si="0"/>
        <v>2.9042340046439259</v>
      </c>
      <c r="D34" s="4">
        <v>1.1379999999999999</v>
      </c>
      <c r="E34" s="4"/>
      <c r="F34" s="4">
        <v>-9.81</v>
      </c>
      <c r="G34" s="4">
        <v>-3.11</v>
      </c>
      <c r="H34" s="4">
        <f t="shared" si="1"/>
        <v>0.31702344546381239</v>
      </c>
    </row>
    <row r="35" spans="1:8" x14ac:dyDescent="0.3">
      <c r="A35" s="4">
        <v>0.55200000000000005</v>
      </c>
      <c r="B35" s="4">
        <v>3.085</v>
      </c>
      <c r="C35" s="4">
        <f t="shared" si="0"/>
        <v>2.9245357895407471</v>
      </c>
      <c r="D35" s="4">
        <v>1.081</v>
      </c>
      <c r="E35" s="4"/>
      <c r="F35" s="4">
        <v>-9.81</v>
      </c>
      <c r="G35" s="4">
        <v>-3.11</v>
      </c>
      <c r="H35" s="4">
        <f t="shared" si="1"/>
        <v>0.31702344546381239</v>
      </c>
    </row>
    <row r="36" spans="1:8" x14ac:dyDescent="0.3">
      <c r="A36" s="4">
        <v>0.56799999999999995</v>
      </c>
      <c r="B36" s="4">
        <v>3.4279999999999999</v>
      </c>
      <c r="C36" s="4">
        <f t="shared" si="0"/>
        <v>2.9418611801077299</v>
      </c>
      <c r="D36" s="4">
        <v>1.0349999999999999</v>
      </c>
      <c r="E36" s="4"/>
      <c r="F36" s="4">
        <v>-9.81</v>
      </c>
      <c r="G36" s="4">
        <v>-3.11</v>
      </c>
      <c r="H36" s="4">
        <f t="shared" si="1"/>
        <v>0.31702344546381239</v>
      </c>
    </row>
    <row r="37" spans="1:8" x14ac:dyDescent="0.3">
      <c r="A37" s="4">
        <v>0.58499999999999996</v>
      </c>
      <c r="B37" s="4">
        <v>3.4279999999999999</v>
      </c>
      <c r="C37" s="4">
        <f t="shared" si="0"/>
        <v>2.9585439918406315</v>
      </c>
      <c r="D37" s="4">
        <v>0.96699999999999997</v>
      </c>
      <c r="E37" s="4"/>
      <c r="F37" s="4">
        <v>-9.81</v>
      </c>
      <c r="G37" s="4">
        <v>-3.11</v>
      </c>
      <c r="H37" s="4">
        <f t="shared" si="1"/>
        <v>0.31702344546381239</v>
      </c>
    </row>
    <row r="38" spans="1:8" x14ac:dyDescent="0.3">
      <c r="A38" s="4">
        <v>0.60199999999999998</v>
      </c>
      <c r="B38" s="4">
        <v>3.2320000000000002</v>
      </c>
      <c r="C38" s="4">
        <f t="shared" si="0"/>
        <v>2.9736088323161791</v>
      </c>
      <c r="D38" s="4">
        <v>0.92100000000000004</v>
      </c>
      <c r="E38" s="4"/>
      <c r="F38" s="4">
        <v>-9.81</v>
      </c>
      <c r="G38" s="4">
        <v>-3.11</v>
      </c>
      <c r="H38" s="4">
        <f t="shared" si="1"/>
        <v>0.31702344546381239</v>
      </c>
    </row>
    <row r="39" spans="1:8" x14ac:dyDescent="0.3">
      <c r="A39" s="4">
        <v>0.61799999999999999</v>
      </c>
      <c r="B39" s="4">
        <v>2.9870000000000001</v>
      </c>
      <c r="C39" s="4">
        <f t="shared" si="0"/>
        <v>2.9864438593454707</v>
      </c>
      <c r="D39" s="4">
        <v>0.85899999999999999</v>
      </c>
      <c r="E39" s="4"/>
      <c r="F39" s="4">
        <v>-9.81</v>
      </c>
      <c r="G39" s="4">
        <v>-3.11</v>
      </c>
      <c r="H39" s="4">
        <f t="shared" si="1"/>
        <v>0.31702344546381239</v>
      </c>
    </row>
    <row r="40" spans="1:8" x14ac:dyDescent="0.3">
      <c r="A40" s="4">
        <v>0.63500000000000001</v>
      </c>
      <c r="B40" s="4">
        <v>2.645</v>
      </c>
      <c r="C40" s="4">
        <f t="shared" si="0"/>
        <v>2.9987844482398947</v>
      </c>
      <c r="D40" s="4">
        <v>0.82199999999999995</v>
      </c>
      <c r="E40" s="4"/>
      <c r="F40" s="4">
        <v>-9.81</v>
      </c>
      <c r="G40" s="4">
        <v>-3.11</v>
      </c>
      <c r="H40" s="4">
        <f t="shared" si="1"/>
        <v>0.31702344546381239</v>
      </c>
    </row>
    <row r="41" spans="1:8" x14ac:dyDescent="0.3">
      <c r="A41" s="4">
        <v>0.65200000000000002</v>
      </c>
      <c r="B41" s="4">
        <v>3.1339999999999999</v>
      </c>
      <c r="C41" s="4">
        <f t="shared" si="0"/>
        <v>3.0099127142404543</v>
      </c>
      <c r="D41" s="4">
        <v>0.77100000000000002</v>
      </c>
      <c r="E41" s="4"/>
      <c r="F41" s="4">
        <v>-9.81</v>
      </c>
      <c r="G41" s="4">
        <v>-3.11</v>
      </c>
      <c r="H41" s="4">
        <f t="shared" si="1"/>
        <v>0.31702344546381239</v>
      </c>
    </row>
    <row r="42" spans="1:8" x14ac:dyDescent="0.3">
      <c r="A42" s="4">
        <v>0.66800000000000004</v>
      </c>
      <c r="B42" s="4">
        <v>2.9870000000000001</v>
      </c>
      <c r="C42" s="4">
        <f t="shared" si="0"/>
        <v>3.0193822694591304</v>
      </c>
      <c r="D42" s="4">
        <v>0.71699999999999997</v>
      </c>
      <c r="E42" s="4"/>
      <c r="F42" s="4">
        <v>-9.81</v>
      </c>
      <c r="G42" s="4">
        <v>-3.11</v>
      </c>
      <c r="H42" s="4">
        <f t="shared" si="1"/>
        <v>0.31702344546381239</v>
      </c>
    </row>
    <row r="43" spans="1:8" x14ac:dyDescent="0.3">
      <c r="A43" s="4">
        <v>0.68500000000000005</v>
      </c>
      <c r="B43" s="4">
        <v>2.7429999999999999</v>
      </c>
      <c r="C43" s="4">
        <f t="shared" si="0"/>
        <v>3.0284770152533578</v>
      </c>
      <c r="D43" s="4">
        <v>0.67100000000000004</v>
      </c>
      <c r="E43" s="4"/>
      <c r="F43" s="4">
        <v>-9.81</v>
      </c>
      <c r="G43" s="4">
        <v>-3.11</v>
      </c>
      <c r="H43" s="4">
        <f t="shared" si="1"/>
        <v>0.31702344546381239</v>
      </c>
    </row>
    <row r="44" spans="1:8" x14ac:dyDescent="0.3">
      <c r="A44" s="4">
        <v>0.70199999999999996</v>
      </c>
      <c r="B44" s="4">
        <v>2.9380000000000002</v>
      </c>
      <c r="C44" s="4">
        <f t="shared" si="0"/>
        <v>3.0366698974704063</v>
      </c>
      <c r="D44" s="4">
        <v>0.626</v>
      </c>
      <c r="E44" s="4"/>
      <c r="F44" s="4">
        <v>-9.81</v>
      </c>
      <c r="G44" s="4">
        <v>-3.11</v>
      </c>
      <c r="H44" s="4">
        <f t="shared" si="1"/>
        <v>0.31702344546381239</v>
      </c>
    </row>
    <row r="45" spans="1:8" x14ac:dyDescent="0.3">
      <c r="A45" s="4">
        <v>0.71799999999999997</v>
      </c>
      <c r="B45" s="4">
        <v>3.6240000000000001</v>
      </c>
      <c r="C45" s="4">
        <f xml:space="preserve"> (G45 * (1 - EXP(2*A45/H45)) / (1 + EXP(2*A45/H45)))</f>
        <v>3.0436353287096556</v>
      </c>
      <c r="D45" s="4">
        <v>0.57299999999999995</v>
      </c>
      <c r="E45" s="4"/>
      <c r="F45" s="4">
        <v>-9.81</v>
      </c>
      <c r="G45" s="4">
        <v>-3.11</v>
      </c>
      <c r="H45" s="4">
        <f t="shared" si="1"/>
        <v>0.31702344546381239</v>
      </c>
    </row>
    <row r="46" spans="1:8" x14ac:dyDescent="0.3">
      <c r="A46" s="4">
        <v>0.73499999999999999</v>
      </c>
      <c r="B46" s="4">
        <v>3.2810000000000001</v>
      </c>
      <c r="C46" s="4">
        <f t="shared" si="0"/>
        <v>3.0503196442673457</v>
      </c>
      <c r="D46" s="4">
        <v>0.505</v>
      </c>
      <c r="E46" s="4"/>
      <c r="F46" s="4">
        <v>-9.81</v>
      </c>
      <c r="G46" s="4">
        <v>-3.11</v>
      </c>
      <c r="H46" s="4">
        <f t="shared" si="1"/>
        <v>0.31702344546381239</v>
      </c>
    </row>
    <row r="47" spans="1:8" x14ac:dyDescent="0.3">
      <c r="A47" s="4">
        <v>0.752</v>
      </c>
      <c r="B47" s="4">
        <v>2.5960000000000001</v>
      </c>
      <c r="C47" s="4">
        <f t="shared" si="0"/>
        <v>3.0563365800828426</v>
      </c>
      <c r="D47" s="4">
        <v>0.46400000000000002</v>
      </c>
      <c r="E47" s="4"/>
      <c r="F47" s="4">
        <v>-9.81</v>
      </c>
      <c r="G47" s="4">
        <v>-3.11</v>
      </c>
      <c r="H47" s="4">
        <f t="shared" si="1"/>
        <v>0.31702344546381239</v>
      </c>
    </row>
    <row r="48" spans="1:8" x14ac:dyDescent="0.3">
      <c r="A48" s="4">
        <v>0.76800000000000002</v>
      </c>
      <c r="B48" s="4">
        <v>3.1829999999999998</v>
      </c>
      <c r="C48" s="4">
        <f t="shared" si="0"/>
        <v>3.061448681129356</v>
      </c>
      <c r="D48" s="4">
        <v>0.41799999999999998</v>
      </c>
      <c r="E48" s="4"/>
      <c r="F48" s="4">
        <v>-9.81</v>
      </c>
      <c r="G48" s="4">
        <v>-3.11</v>
      </c>
      <c r="H48" s="4">
        <f t="shared" si="1"/>
        <v>0.31702344546381239</v>
      </c>
    </row>
    <row r="49" spans="1:8" x14ac:dyDescent="0.3">
      <c r="A49" s="4">
        <v>0.78500000000000003</v>
      </c>
      <c r="B49" s="4">
        <v>3.2810000000000001</v>
      </c>
      <c r="C49" s="4">
        <f t="shared" si="0"/>
        <v>3.0663515444703298</v>
      </c>
      <c r="D49" s="4">
        <v>0.35799999999999998</v>
      </c>
      <c r="E49" s="4"/>
      <c r="F49" s="4">
        <v>-9.81</v>
      </c>
      <c r="G49" s="4">
        <v>-3.11</v>
      </c>
      <c r="H49" s="4">
        <f t="shared" si="1"/>
        <v>0.31702344546381239</v>
      </c>
    </row>
    <row r="50" spans="1:8" x14ac:dyDescent="0.3">
      <c r="A50" s="4">
        <v>0.80200000000000005</v>
      </c>
      <c r="B50" s="4">
        <v>3.1829999999999998</v>
      </c>
      <c r="C50" s="4">
        <f t="shared" si="0"/>
        <v>3.0707624492511902</v>
      </c>
      <c r="D50" s="4">
        <v>0.309</v>
      </c>
      <c r="E50" s="4"/>
      <c r="F50" s="4">
        <v>-9.81</v>
      </c>
      <c r="G50" s="4">
        <v>-3.11</v>
      </c>
      <c r="H50" s="4">
        <f t="shared" si="1"/>
        <v>0.31702344546381239</v>
      </c>
    </row>
    <row r="51" spans="1:8" x14ac:dyDescent="0.3">
      <c r="A51" s="4">
        <v>0.81799999999999995</v>
      </c>
      <c r="B51" s="4">
        <v>3.036</v>
      </c>
      <c r="C51" s="4">
        <f t="shared" si="0"/>
        <v>3.0745082185230563</v>
      </c>
      <c r="D51" s="4">
        <v>0.252</v>
      </c>
      <c r="E51" s="4"/>
      <c r="F51" s="4">
        <v>-9.81</v>
      </c>
      <c r="G51" s="4">
        <v>-3.11</v>
      </c>
      <c r="H51" s="4">
        <f t="shared" si="1"/>
        <v>0.31702344546381239</v>
      </c>
    </row>
    <row r="52" spans="1:8" x14ac:dyDescent="0.3">
      <c r="A52" s="4">
        <v>0.83499999999999996</v>
      </c>
      <c r="B52" s="4">
        <v>3.036</v>
      </c>
      <c r="C52" s="4">
        <f t="shared" si="0"/>
        <v>3.0780991061020715</v>
      </c>
      <c r="D52" s="4">
        <v>0.20799999999999999</v>
      </c>
      <c r="E52" s="4"/>
      <c r="F52" s="4">
        <v>-9.81</v>
      </c>
      <c r="G52" s="4">
        <v>-3.11</v>
      </c>
      <c r="H52" s="4">
        <f t="shared" si="1"/>
        <v>0.31702344546381239</v>
      </c>
    </row>
    <row r="53" spans="1:8" x14ac:dyDescent="0.3">
      <c r="A53" s="4">
        <v>0.85199999999999998</v>
      </c>
      <c r="B53" s="4">
        <v>2.84</v>
      </c>
      <c r="C53" s="4">
        <f t="shared" si="0"/>
        <v>3.0813283692776658</v>
      </c>
      <c r="D53" s="4">
        <v>0.151</v>
      </c>
      <c r="E53" s="4"/>
      <c r="F53" s="4">
        <v>-9.81</v>
      </c>
      <c r="G53" s="4">
        <v>-3.11</v>
      </c>
      <c r="H53" s="4">
        <f t="shared" si="1"/>
        <v>0.31702344546381239</v>
      </c>
    </row>
    <row r="54" spans="1:8" x14ac:dyDescent="0.3">
      <c r="A54" s="4">
        <v>0.86799999999999999</v>
      </c>
      <c r="B54" s="4">
        <v>0</v>
      </c>
      <c r="C54" s="4">
        <f t="shared" si="0"/>
        <v>3.0840697063811118</v>
      </c>
      <c r="D54" s="4">
        <v>0.113</v>
      </c>
      <c r="E54" s="4"/>
      <c r="F54" s="4">
        <v>-9.81</v>
      </c>
      <c r="G54" s="4">
        <v>-3.11</v>
      </c>
      <c r="H54" s="4">
        <f t="shared" si="1"/>
        <v>0.31702344546381239</v>
      </c>
    </row>
    <row r="55" spans="1:8" x14ac:dyDescent="0.3">
      <c r="G55" t="s">
        <v>13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0C9BA-B9AB-2043-929C-2825D509FA38}">
  <dimension ref="A1:H53"/>
  <sheetViews>
    <sheetView tabSelected="1" zoomScale="85" zoomScaleNormal="85" workbookViewId="0">
      <selection activeCell="G5" sqref="G5"/>
    </sheetView>
  </sheetViews>
  <sheetFormatPr defaultColWidth="11.19921875" defaultRowHeight="15.6" x14ac:dyDescent="0.3"/>
  <cols>
    <col min="2" max="2" width="14.19921875" customWidth="1"/>
    <col min="3" max="3" width="12.5" customWidth="1"/>
    <col min="7" max="7" width="20.796875" customWidth="1"/>
  </cols>
  <sheetData>
    <row r="1" spans="1:8" x14ac:dyDescent="0.3">
      <c r="A1" s="1" t="s">
        <v>0</v>
      </c>
      <c r="B1" s="1" t="s">
        <v>11</v>
      </c>
      <c r="C1" t="s">
        <v>17</v>
      </c>
      <c r="D1" s="1" t="s">
        <v>10</v>
      </c>
      <c r="F1" t="s">
        <v>1</v>
      </c>
      <c r="G1" t="s">
        <v>5</v>
      </c>
      <c r="H1" t="s">
        <v>2</v>
      </c>
    </row>
    <row r="2" spans="1:8" x14ac:dyDescent="0.3">
      <c r="A2" s="4">
        <v>0</v>
      </c>
      <c r="B2" s="4">
        <f>ABS(0)</f>
        <v>0</v>
      </c>
      <c r="C2" s="4">
        <f>(G2*(1-EXP(2*A2/H2))/(1+EXP(2*A2/H2)))</f>
        <v>0</v>
      </c>
      <c r="D2" s="4">
        <v>2.41886</v>
      </c>
      <c r="F2">
        <v>-9.81</v>
      </c>
      <c r="G2" s="4">
        <v>-4.0884999999999998</v>
      </c>
      <c r="H2" s="4">
        <f>G2/F2</f>
        <v>0.41676860346585115</v>
      </c>
    </row>
    <row r="3" spans="1:8" x14ac:dyDescent="0.3">
      <c r="A3" s="4">
        <v>1.6666670000000001E-2</v>
      </c>
      <c r="B3" s="4">
        <f>ABS(0.5078673)</f>
        <v>0.50786730000000002</v>
      </c>
      <c r="C3" s="4">
        <f t="shared" ref="C3:C52" si="0">(G3*(1-EXP(2*A3/H3))/(1+EXP(2*A3/H3)))</f>
        <v>0.16341293101612978</v>
      </c>
      <c r="D3" s="4">
        <v>2.4070100000000001</v>
      </c>
      <c r="F3">
        <v>-9.81</v>
      </c>
      <c r="G3" s="4">
        <v>-4.0884999999999998</v>
      </c>
      <c r="H3" s="4">
        <f t="shared" ref="H3:H52" si="1">G3/F3</f>
        <v>0.41676860346585115</v>
      </c>
    </row>
    <row r="4" spans="1:8" x14ac:dyDescent="0.3">
      <c r="A4" s="4">
        <v>3.3333330000000001E-2</v>
      </c>
      <c r="B4" s="4">
        <v>0.40629379999999998</v>
      </c>
      <c r="C4" s="4">
        <f t="shared" si="0"/>
        <v>0.32630448821835573</v>
      </c>
      <c r="D4" s="4">
        <v>2.4019309999999998</v>
      </c>
      <c r="F4">
        <v>-9.81</v>
      </c>
      <c r="G4" s="4">
        <v>-4.0884999999999998</v>
      </c>
      <c r="H4" s="4">
        <f t="shared" si="1"/>
        <v>0.41676860346585115</v>
      </c>
    </row>
    <row r="5" spans="1:8" x14ac:dyDescent="0.3">
      <c r="A5" s="4">
        <v>0.05</v>
      </c>
      <c r="B5" s="4">
        <v>0.55865399999999998</v>
      </c>
      <c r="C5" s="4">
        <f t="shared" si="0"/>
        <v>0.48816022118879321</v>
      </c>
      <c r="D5" s="4">
        <v>2.3934669999999998</v>
      </c>
      <c r="F5">
        <v>-9.81</v>
      </c>
      <c r="G5" s="4">
        <v>-4.0884999999999998</v>
      </c>
      <c r="H5" s="4">
        <f t="shared" si="1"/>
        <v>0.41676860346585115</v>
      </c>
    </row>
    <row r="6" spans="1:8" x14ac:dyDescent="0.3">
      <c r="A6" s="4">
        <v>6.6666669999999997E-2</v>
      </c>
      <c r="B6" s="4">
        <v>0.66022749999999997</v>
      </c>
      <c r="C6" s="4">
        <f t="shared" si="0"/>
        <v>0.64847846782505292</v>
      </c>
      <c r="D6" s="4">
        <v>2.3833090000000001</v>
      </c>
      <c r="F6">
        <v>-9.81</v>
      </c>
      <c r="G6" s="4">
        <v>-4.0884999999999998</v>
      </c>
      <c r="H6" s="4">
        <f t="shared" si="1"/>
        <v>0.41676860346585115</v>
      </c>
    </row>
    <row r="7" spans="1:8" x14ac:dyDescent="0.3">
      <c r="A7" s="4">
        <v>8.3333329999999997E-2</v>
      </c>
      <c r="B7" s="4">
        <v>0.66022749999999997</v>
      </c>
      <c r="C7" s="4">
        <f t="shared" si="0"/>
        <v>0.80677675486054767</v>
      </c>
      <c r="D7" s="4">
        <v>2.3714590000000002</v>
      </c>
      <c r="F7">
        <v>-9.81</v>
      </c>
      <c r="G7" s="4">
        <v>-4.0884999999999998</v>
      </c>
      <c r="H7" s="4">
        <f t="shared" si="1"/>
        <v>0.41676860346585115</v>
      </c>
    </row>
    <row r="8" spans="1:8" x14ac:dyDescent="0.3">
      <c r="A8" s="4">
        <v>0.1</v>
      </c>
      <c r="B8" s="4">
        <v>0.91416109999999995</v>
      </c>
      <c r="C8" s="4">
        <f t="shared" si="0"/>
        <v>0.96259767883416003</v>
      </c>
      <c r="D8" s="4">
        <v>2.3613019999999998</v>
      </c>
      <c r="F8">
        <v>-9.81</v>
      </c>
      <c r="G8" s="4">
        <v>-4.0884999999999998</v>
      </c>
      <c r="H8" s="4">
        <f t="shared" si="1"/>
        <v>0.41676860346585115</v>
      </c>
    </row>
    <row r="9" spans="1:8" x14ac:dyDescent="0.3">
      <c r="A9" s="4">
        <v>0.1166667</v>
      </c>
      <c r="B9" s="4">
        <v>1.3712420000000001</v>
      </c>
      <c r="C9" s="4">
        <f t="shared" si="0"/>
        <v>1.1155135733077828</v>
      </c>
      <c r="D9" s="4">
        <v>2.3409870000000002</v>
      </c>
      <c r="F9">
        <v>-9.81</v>
      </c>
      <c r="G9" s="4">
        <v>-4.0884999999999998</v>
      </c>
      <c r="H9" s="4">
        <f t="shared" si="1"/>
        <v>0.41676860346585115</v>
      </c>
    </row>
    <row r="10" spans="1:8" x14ac:dyDescent="0.3">
      <c r="A10" s="4">
        <v>0.13333329999999999</v>
      </c>
      <c r="B10" s="4">
        <v>1.4220280000000001</v>
      </c>
      <c r="C10" s="4">
        <f t="shared" si="0"/>
        <v>1.2651293989304633</v>
      </c>
      <c r="D10" s="4">
        <v>2.3155939999999999</v>
      </c>
      <c r="F10">
        <v>-9.81</v>
      </c>
      <c r="G10" s="4">
        <v>-4.0884999999999998</v>
      </c>
      <c r="H10" s="4">
        <f t="shared" si="1"/>
        <v>0.41676860346585115</v>
      </c>
    </row>
    <row r="11" spans="1:8" x14ac:dyDescent="0.3">
      <c r="A11" s="4">
        <v>0.15</v>
      </c>
      <c r="B11" s="4">
        <v>1.472815</v>
      </c>
      <c r="C11" s="4">
        <f t="shared" si="0"/>
        <v>1.4110904711074359</v>
      </c>
      <c r="D11" s="4">
        <v>2.2935859999999999</v>
      </c>
      <c r="F11">
        <v>-9.81</v>
      </c>
      <c r="G11" s="4">
        <v>-4.0884999999999998</v>
      </c>
      <c r="H11" s="4">
        <f t="shared" si="1"/>
        <v>0.41676860346585115</v>
      </c>
    </row>
    <row r="12" spans="1:8" x14ac:dyDescent="0.3">
      <c r="A12" s="4">
        <v>0.1666667</v>
      </c>
      <c r="B12" s="4">
        <v>1.625175</v>
      </c>
      <c r="C12" s="4">
        <f t="shared" si="0"/>
        <v>1.5530793437588697</v>
      </c>
      <c r="D12" s="4">
        <v>2.2665000000000002</v>
      </c>
      <c r="F12">
        <v>-9.81</v>
      </c>
      <c r="G12" s="4">
        <v>-4.0884999999999998</v>
      </c>
      <c r="H12" s="4">
        <f t="shared" si="1"/>
        <v>0.41676860346585115</v>
      </c>
    </row>
    <row r="13" spans="1:8" x14ac:dyDescent="0.3">
      <c r="A13" s="4">
        <v>0.1833333</v>
      </c>
      <c r="B13" s="4">
        <v>1.9806820000000001</v>
      </c>
      <c r="C13" s="4">
        <f t="shared" si="0"/>
        <v>1.6908202993320611</v>
      </c>
      <c r="D13" s="4">
        <v>2.2394129999999999</v>
      </c>
      <c r="F13">
        <v>-9.81</v>
      </c>
      <c r="G13" s="4">
        <v>-4.0884999999999998</v>
      </c>
      <c r="H13" s="4">
        <f t="shared" si="1"/>
        <v>0.41676860346585115</v>
      </c>
    </row>
    <row r="14" spans="1:8" x14ac:dyDescent="0.3">
      <c r="A14" s="4">
        <v>0.2</v>
      </c>
      <c r="B14" s="4">
        <v>2.031469</v>
      </c>
      <c r="C14" s="4">
        <f t="shared" si="0"/>
        <v>1.8240825643759042</v>
      </c>
      <c r="D14" s="4">
        <v>2.2004769999999998</v>
      </c>
      <c r="F14">
        <v>-9.81</v>
      </c>
      <c r="G14" s="4">
        <v>-4.0884999999999998</v>
      </c>
      <c r="H14" s="4">
        <f t="shared" si="1"/>
        <v>0.41676860346585115</v>
      </c>
    </row>
    <row r="15" spans="1:8" x14ac:dyDescent="0.3">
      <c r="A15" s="4">
        <v>0.21666669999999999</v>
      </c>
      <c r="B15" s="4">
        <v>2.2854030000000001</v>
      </c>
      <c r="C15" s="4">
        <f t="shared" si="0"/>
        <v>1.9526753903746115</v>
      </c>
      <c r="D15" s="4">
        <v>2.1716980000000001</v>
      </c>
      <c r="F15">
        <v>-9.81</v>
      </c>
      <c r="G15" s="4">
        <v>-4.0884999999999998</v>
      </c>
      <c r="H15" s="4">
        <f t="shared" si="1"/>
        <v>0.41676860346585115</v>
      </c>
    </row>
    <row r="16" spans="1:8" x14ac:dyDescent="0.3">
      <c r="A16" s="4">
        <v>0.23333329999999999</v>
      </c>
      <c r="B16" s="4">
        <v>2.742483</v>
      </c>
      <c r="C16" s="4">
        <f t="shared" si="0"/>
        <v>2.0764499658405846</v>
      </c>
      <c r="D16" s="4">
        <v>2.1242969999999999</v>
      </c>
      <c r="F16">
        <v>-9.81</v>
      </c>
      <c r="G16" s="4">
        <v>-4.0884999999999998</v>
      </c>
      <c r="H16" s="4">
        <f t="shared" si="1"/>
        <v>0.41676860346585115</v>
      </c>
    </row>
    <row r="17" spans="1:8" x14ac:dyDescent="0.3">
      <c r="A17" s="4">
        <v>0.25</v>
      </c>
      <c r="B17" s="4">
        <v>2.6409099999999999</v>
      </c>
      <c r="C17" s="4">
        <f t="shared" si="0"/>
        <v>2.1953001743650895</v>
      </c>
      <c r="D17" s="4">
        <v>2.080282</v>
      </c>
      <c r="F17">
        <v>-9.81</v>
      </c>
      <c r="G17" s="4">
        <v>-4.0884999999999998</v>
      </c>
      <c r="H17" s="4">
        <f t="shared" si="1"/>
        <v>0.41676860346585115</v>
      </c>
    </row>
    <row r="18" spans="1:8" x14ac:dyDescent="0.3">
      <c r="A18" s="4">
        <v>0.26666669999999998</v>
      </c>
      <c r="B18" s="4">
        <v>2.6409099999999999</v>
      </c>
      <c r="C18" s="4">
        <f t="shared" si="0"/>
        <v>2.3091562373310053</v>
      </c>
      <c r="D18" s="4">
        <v>2.036267</v>
      </c>
      <c r="F18">
        <v>-9.81</v>
      </c>
      <c r="G18" s="4">
        <v>-4.0884999999999998</v>
      </c>
      <c r="H18" s="4">
        <f t="shared" si="1"/>
        <v>0.41676860346585115</v>
      </c>
    </row>
    <row r="19" spans="1:8" x14ac:dyDescent="0.3">
      <c r="A19" s="4">
        <v>0.28333330000000001</v>
      </c>
      <c r="B19" s="4">
        <v>2.8440569999999998</v>
      </c>
      <c r="C19" s="4">
        <f t="shared" si="0"/>
        <v>2.4179847208377057</v>
      </c>
      <c r="D19" s="4">
        <v>1.992251</v>
      </c>
      <c r="F19">
        <v>-9.81</v>
      </c>
      <c r="G19" s="4">
        <v>-4.0884999999999998</v>
      </c>
      <c r="H19" s="4">
        <f t="shared" si="1"/>
        <v>0.41676860346585115</v>
      </c>
    </row>
    <row r="20" spans="1:8" x14ac:dyDescent="0.3">
      <c r="A20" s="4">
        <v>0.3</v>
      </c>
      <c r="B20" s="4">
        <v>2.5901230000000002</v>
      </c>
      <c r="C20" s="4">
        <f t="shared" si="0"/>
        <v>2.521787651863808</v>
      </c>
      <c r="D20" s="4">
        <v>1.941465</v>
      </c>
      <c r="F20">
        <v>-9.81</v>
      </c>
      <c r="G20" s="4">
        <v>-4.0884999999999998</v>
      </c>
      <c r="H20" s="4">
        <f t="shared" si="1"/>
        <v>0.41676860346585115</v>
      </c>
    </row>
    <row r="21" spans="1:8" x14ac:dyDescent="0.3">
      <c r="A21" s="4">
        <v>0.31666670000000002</v>
      </c>
      <c r="B21" s="4">
        <v>2.691697</v>
      </c>
      <c r="C21" s="4">
        <f t="shared" si="0"/>
        <v>2.6205956396637391</v>
      </c>
      <c r="D21" s="4">
        <v>1.9059140000000001</v>
      </c>
      <c r="F21">
        <v>-9.81</v>
      </c>
      <c r="G21" s="4">
        <v>-4.0884999999999998</v>
      </c>
      <c r="H21" s="4">
        <f t="shared" si="1"/>
        <v>0.41676860346585115</v>
      </c>
    </row>
    <row r="22" spans="1:8" x14ac:dyDescent="0.3">
      <c r="A22" s="4">
        <v>0.3333333</v>
      </c>
      <c r="B22" s="4">
        <v>3.5550709999999999</v>
      </c>
      <c r="C22" s="4">
        <f t="shared" si="0"/>
        <v>2.7144668501339231</v>
      </c>
      <c r="D22" s="4">
        <v>1.8517410000000001</v>
      </c>
      <c r="F22">
        <v>-9.81</v>
      </c>
      <c r="G22" s="4">
        <v>-4.0884999999999998</v>
      </c>
      <c r="H22" s="4">
        <f t="shared" si="1"/>
        <v>0.41676860346585115</v>
      </c>
    </row>
    <row r="23" spans="1:8" x14ac:dyDescent="0.3">
      <c r="A23" s="4">
        <v>0.35</v>
      </c>
      <c r="B23" s="4">
        <v>3.7582179999999998</v>
      </c>
      <c r="C23" s="4">
        <f t="shared" si="0"/>
        <v>2.8034853688495174</v>
      </c>
      <c r="D23" s="4">
        <v>1.787412</v>
      </c>
      <c r="F23">
        <v>-9.81</v>
      </c>
      <c r="G23" s="4">
        <v>-4.0884999999999998</v>
      </c>
      <c r="H23" s="4">
        <f t="shared" si="1"/>
        <v>0.41676860346585115</v>
      </c>
    </row>
    <row r="24" spans="1:8" x14ac:dyDescent="0.3">
      <c r="A24" s="4">
        <v>0.36666670000000001</v>
      </c>
      <c r="B24" s="4">
        <v>2.4377629999999999</v>
      </c>
      <c r="C24" s="4">
        <f t="shared" si="0"/>
        <v>2.8877546331425439</v>
      </c>
      <c r="D24" s="4">
        <v>1.7264679999999999</v>
      </c>
      <c r="F24">
        <v>-9.81</v>
      </c>
      <c r="G24" s="4">
        <v>-4.0884999999999998</v>
      </c>
      <c r="H24" s="4">
        <f t="shared" si="1"/>
        <v>0.41676860346585115</v>
      </c>
    </row>
    <row r="25" spans="1:8" x14ac:dyDescent="0.3">
      <c r="A25" s="4">
        <v>0.38333329999999999</v>
      </c>
      <c r="B25" s="4">
        <v>2.1330429999999998</v>
      </c>
      <c r="C25" s="4">
        <f t="shared" si="0"/>
        <v>2.967396127662068</v>
      </c>
      <c r="D25" s="4">
        <v>1.706153</v>
      </c>
      <c r="F25">
        <v>-9.81</v>
      </c>
      <c r="G25" s="4">
        <v>-4.0884999999999998</v>
      </c>
      <c r="H25" s="4">
        <f t="shared" si="1"/>
        <v>0.41676860346585115</v>
      </c>
    </row>
    <row r="26" spans="1:8" x14ac:dyDescent="0.3">
      <c r="A26" s="4">
        <v>0.4</v>
      </c>
      <c r="B26" s="4">
        <v>3.5550709999999999</v>
      </c>
      <c r="C26" s="4">
        <f t="shared" si="0"/>
        <v>3.0425476875028354</v>
      </c>
      <c r="D26" s="4">
        <v>1.6553659999999999</v>
      </c>
      <c r="F26">
        <v>-9.81</v>
      </c>
      <c r="G26" s="4">
        <v>-4.0884999999999998</v>
      </c>
      <c r="H26" s="4">
        <f t="shared" si="1"/>
        <v>0.41676860346585115</v>
      </c>
    </row>
    <row r="27" spans="1:8" x14ac:dyDescent="0.3">
      <c r="A27" s="4">
        <v>0.4166667</v>
      </c>
      <c r="B27" s="4">
        <v>3.809005</v>
      </c>
      <c r="C27" s="4">
        <f t="shared" si="0"/>
        <v>3.113357791428478</v>
      </c>
      <c r="D27" s="4">
        <v>1.58765</v>
      </c>
      <c r="F27">
        <v>-9.81</v>
      </c>
      <c r="G27" s="4">
        <v>-4.0884999999999998</v>
      </c>
      <c r="H27" s="4">
        <f t="shared" si="1"/>
        <v>0.41676860346585115</v>
      </c>
    </row>
    <row r="28" spans="1:8" x14ac:dyDescent="0.3">
      <c r="A28" s="4">
        <v>0.43333329999999998</v>
      </c>
      <c r="B28" s="4">
        <v>3.3011370000000002</v>
      </c>
      <c r="C28" s="4">
        <f t="shared" si="0"/>
        <v>3.1799844639876818</v>
      </c>
      <c r="D28" s="4">
        <v>1.5283990000000001</v>
      </c>
      <c r="F28">
        <v>-9.81</v>
      </c>
      <c r="G28" s="4">
        <v>-4.0884999999999998</v>
      </c>
      <c r="H28" s="4">
        <f t="shared" si="1"/>
        <v>0.41676860346585115</v>
      </c>
    </row>
    <row r="29" spans="1:8" x14ac:dyDescent="0.3">
      <c r="A29" s="4">
        <v>0.45</v>
      </c>
      <c r="B29" s="4">
        <v>3.4534980000000002</v>
      </c>
      <c r="C29" s="4">
        <f t="shared" si="0"/>
        <v>3.2425939224934845</v>
      </c>
      <c r="D29" s="4">
        <v>1.4776130000000001</v>
      </c>
      <c r="F29">
        <v>-9.81</v>
      </c>
      <c r="G29" s="4">
        <v>-4.0884999999999998</v>
      </c>
      <c r="H29" s="4">
        <f t="shared" si="1"/>
        <v>0.41676860346585115</v>
      </c>
    </row>
    <row r="30" spans="1:8" x14ac:dyDescent="0.3">
      <c r="A30" s="4">
        <v>0.46666669999999999</v>
      </c>
      <c r="B30" s="4">
        <v>3.9613649999999998</v>
      </c>
      <c r="C30" s="4">
        <f>(G30*(1-EXP(2*A30/H30))/(1+EXP(2*A30/H30)))</f>
        <v>3.301355970692482</v>
      </c>
      <c r="D30" s="4">
        <v>1.4132830000000001</v>
      </c>
      <c r="F30">
        <v>-9.81</v>
      </c>
      <c r="G30" s="4">
        <v>-4.0884999999999998</v>
      </c>
      <c r="H30" s="4">
        <f t="shared" si="1"/>
        <v>0.41676860346585115</v>
      </c>
    </row>
    <row r="31" spans="1:8" x14ac:dyDescent="0.3">
      <c r="A31" s="4">
        <v>0.48333330000000002</v>
      </c>
      <c r="B31" s="4">
        <v>3.3519239999999999</v>
      </c>
      <c r="C31" s="4">
        <f t="shared" si="0"/>
        <v>3.3564433236641822</v>
      </c>
      <c r="D31" s="4">
        <v>1.345567</v>
      </c>
      <c r="F31">
        <v>-9.81</v>
      </c>
      <c r="G31" s="4">
        <v>-4.0884999999999998</v>
      </c>
      <c r="H31" s="4">
        <f t="shared" si="1"/>
        <v>0.41676860346585115</v>
      </c>
    </row>
    <row r="32" spans="1:8" x14ac:dyDescent="0.3">
      <c r="A32" s="4">
        <v>0.5</v>
      </c>
      <c r="B32" s="4">
        <v>3.2503510000000002</v>
      </c>
      <c r="C32" s="4">
        <f t="shared" si="0"/>
        <v>3.4080307472025768</v>
      </c>
      <c r="D32" s="4">
        <v>1.301552</v>
      </c>
      <c r="F32">
        <v>-9.81</v>
      </c>
      <c r="G32" s="4">
        <v>-4.0884999999999998</v>
      </c>
      <c r="H32" s="4">
        <f t="shared" si="1"/>
        <v>0.41676860346585115</v>
      </c>
    </row>
    <row r="33" spans="1:8" x14ac:dyDescent="0.3">
      <c r="A33" s="4">
        <v>0.51666670000000003</v>
      </c>
      <c r="B33" s="4">
        <v>3.7582179999999998</v>
      </c>
      <c r="C33" s="4">
        <f t="shared" si="0"/>
        <v>3.4562915517464781</v>
      </c>
      <c r="D33" s="4">
        <v>1.237222</v>
      </c>
      <c r="F33">
        <v>-9.81</v>
      </c>
      <c r="G33" s="4">
        <v>-4.0884999999999998</v>
      </c>
      <c r="H33" s="4">
        <f t="shared" si="1"/>
        <v>0.41676860346585115</v>
      </c>
    </row>
    <row r="34" spans="1:8" x14ac:dyDescent="0.3">
      <c r="A34" s="4">
        <v>0.53333330000000001</v>
      </c>
      <c r="B34" s="4">
        <v>3.3519239999999999</v>
      </c>
      <c r="C34" s="4">
        <f t="shared" si="0"/>
        <v>3.5013973632847732</v>
      </c>
      <c r="D34" s="4">
        <v>1.1762779999999999</v>
      </c>
      <c r="F34">
        <v>-9.81</v>
      </c>
      <c r="G34" s="4">
        <v>-4.0884999999999998</v>
      </c>
      <c r="H34" s="4">
        <f t="shared" si="1"/>
        <v>0.41676860346585115</v>
      </c>
    </row>
    <row r="35" spans="1:8" x14ac:dyDescent="0.3">
      <c r="A35" s="4">
        <v>0.55000000000000004</v>
      </c>
      <c r="B35" s="4">
        <v>3.4825189999999999</v>
      </c>
      <c r="C35" s="4">
        <f t="shared" si="0"/>
        <v>3.5435177362048655</v>
      </c>
      <c r="D35" s="4">
        <v>1.125491</v>
      </c>
      <c r="F35">
        <v>-9.81</v>
      </c>
      <c r="G35" s="4">
        <v>-4.0884999999999998</v>
      </c>
      <c r="H35" s="4">
        <f t="shared" si="1"/>
        <v>0.41676860346585115</v>
      </c>
    </row>
    <row r="36" spans="1:8" x14ac:dyDescent="0.3">
      <c r="A36" s="4">
        <v>0.56833330000000004</v>
      </c>
      <c r="B36" s="4">
        <v>3.6276229999999998</v>
      </c>
      <c r="C36" s="4">
        <f t="shared" si="0"/>
        <v>3.5865985384961481</v>
      </c>
      <c r="D36" s="4">
        <v>1.0543899999999999</v>
      </c>
      <c r="F36">
        <v>-9.81</v>
      </c>
      <c r="G36" s="4">
        <v>-4.0884999999999998</v>
      </c>
      <c r="H36" s="4">
        <f t="shared" si="1"/>
        <v>0.41676860346585115</v>
      </c>
    </row>
    <row r="37" spans="1:8" x14ac:dyDescent="0.3">
      <c r="A37" s="4">
        <v>0.58499999999999996</v>
      </c>
      <c r="B37" s="4">
        <v>3.859791</v>
      </c>
      <c r="C37" s="4">
        <f t="shared" si="0"/>
        <v>3.6229812508766659</v>
      </c>
      <c r="D37" s="4">
        <v>0.99852439999999998</v>
      </c>
      <c r="F37">
        <v>-9.81</v>
      </c>
      <c r="G37" s="4">
        <v>-4.0884999999999998</v>
      </c>
      <c r="H37" s="4">
        <f t="shared" si="1"/>
        <v>0.41676860346585115</v>
      </c>
    </row>
    <row r="38" spans="1:8" x14ac:dyDescent="0.3">
      <c r="A38" s="4">
        <v>0.6016667</v>
      </c>
      <c r="B38" s="4">
        <v>4.5200189999999996</v>
      </c>
      <c r="C38" s="4">
        <f t="shared" si="0"/>
        <v>3.6568749076540761</v>
      </c>
      <c r="D38" s="4">
        <v>0.9257301</v>
      </c>
      <c r="F38">
        <v>-9.81</v>
      </c>
      <c r="G38" s="4">
        <v>-4.0884999999999998</v>
      </c>
      <c r="H38" s="4">
        <f t="shared" si="1"/>
        <v>0.41676860346585115</v>
      </c>
    </row>
    <row r="39" spans="1:8" x14ac:dyDescent="0.3">
      <c r="A39" s="4">
        <v>0.61833329999999997</v>
      </c>
      <c r="B39" s="4">
        <v>4.2152979999999998</v>
      </c>
      <c r="C39" s="4">
        <f t="shared" si="0"/>
        <v>3.6884286665394237</v>
      </c>
      <c r="D39" s="4">
        <v>0.84785710000000003</v>
      </c>
      <c r="F39">
        <v>-9.81</v>
      </c>
      <c r="G39" s="4">
        <v>-4.0884999999999998</v>
      </c>
      <c r="H39" s="4">
        <f t="shared" si="1"/>
        <v>0.41676860346585115</v>
      </c>
    </row>
    <row r="40" spans="1:8" x14ac:dyDescent="0.3">
      <c r="A40" s="4">
        <v>0.63500000000000001</v>
      </c>
      <c r="B40" s="4">
        <v>3.656644</v>
      </c>
      <c r="C40" s="4">
        <f t="shared" si="0"/>
        <v>3.7177862776727553</v>
      </c>
      <c r="D40" s="4">
        <v>0.78522020000000003</v>
      </c>
      <c r="F40">
        <v>-9.81</v>
      </c>
      <c r="G40" s="4">
        <v>-4.0884999999999998</v>
      </c>
      <c r="H40" s="4">
        <f t="shared" si="1"/>
        <v>0.41676860346585115</v>
      </c>
    </row>
    <row r="41" spans="1:8" x14ac:dyDescent="0.3">
      <c r="A41" s="4">
        <v>0.65166670000000004</v>
      </c>
      <c r="B41" s="4">
        <v>3.809005</v>
      </c>
      <c r="C41" s="4">
        <f t="shared" si="0"/>
        <v>3.7450847292181986</v>
      </c>
      <c r="D41" s="4">
        <v>0.72596899999999998</v>
      </c>
      <c r="F41">
        <v>-9.81</v>
      </c>
      <c r="G41" s="4">
        <v>-4.0884999999999998</v>
      </c>
      <c r="H41" s="4">
        <f t="shared" si="1"/>
        <v>0.41676860346585115</v>
      </c>
    </row>
    <row r="42" spans="1:8" x14ac:dyDescent="0.3">
      <c r="A42" s="4">
        <v>0.66833330000000002</v>
      </c>
      <c r="B42" s="4">
        <v>4.0629379999999999</v>
      </c>
      <c r="C42" s="4">
        <f t="shared" si="0"/>
        <v>3.7704547424592048</v>
      </c>
      <c r="D42" s="4">
        <v>0.65825330000000004</v>
      </c>
      <c r="F42">
        <v>-9.81</v>
      </c>
      <c r="G42" s="4">
        <v>-4.0884999999999998</v>
      </c>
      <c r="H42" s="4">
        <f t="shared" si="1"/>
        <v>0.41676860346585115</v>
      </c>
    </row>
    <row r="43" spans="1:8" x14ac:dyDescent="0.3">
      <c r="A43" s="4">
        <v>0.68500000000000005</v>
      </c>
      <c r="B43" s="4">
        <v>3.9105780000000001</v>
      </c>
      <c r="C43" s="4">
        <f t="shared" si="0"/>
        <v>3.7940211222876647</v>
      </c>
      <c r="D43" s="4">
        <v>0.59053770000000005</v>
      </c>
      <c r="F43">
        <v>-9.81</v>
      </c>
      <c r="G43" s="4">
        <v>-4.0884999999999998</v>
      </c>
      <c r="H43" s="4">
        <f t="shared" si="1"/>
        <v>0.41676860346585115</v>
      </c>
    </row>
    <row r="44" spans="1:8" x14ac:dyDescent="0.3">
      <c r="A44" s="4">
        <v>0.70166669999999998</v>
      </c>
      <c r="B44" s="4">
        <v>4.0629379999999999</v>
      </c>
      <c r="C44" s="4">
        <f t="shared" si="0"/>
        <v>3.8159018603344013</v>
      </c>
      <c r="D44" s="4">
        <v>0.5279007</v>
      </c>
      <c r="F44">
        <v>-9.81</v>
      </c>
      <c r="G44" s="4">
        <v>-4.0884999999999998</v>
      </c>
      <c r="H44" s="4">
        <f t="shared" si="1"/>
        <v>0.41676860346585115</v>
      </c>
    </row>
    <row r="45" spans="1:8" x14ac:dyDescent="0.3">
      <c r="A45" s="4">
        <v>0.71833329999999995</v>
      </c>
      <c r="B45" s="4">
        <v>3.5550709999999999</v>
      </c>
      <c r="C45" s="4">
        <f t="shared" si="0"/>
        <v>3.8362087074042184</v>
      </c>
      <c r="D45" s="4">
        <v>0.45510640000000002</v>
      </c>
      <c r="F45">
        <v>-9.81</v>
      </c>
      <c r="G45" s="4">
        <v>-4.0884999999999998</v>
      </c>
      <c r="H45" s="4">
        <f t="shared" si="1"/>
        <v>0.41676860346585115</v>
      </c>
    </row>
    <row r="46" spans="1:8" x14ac:dyDescent="0.3">
      <c r="A46" s="4">
        <v>0.73499999999999999</v>
      </c>
      <c r="B46" s="4">
        <v>3.5550709999999999</v>
      </c>
      <c r="C46" s="4">
        <f t="shared" si="0"/>
        <v>3.8550476086900796</v>
      </c>
      <c r="D46" s="4">
        <v>0.4093984</v>
      </c>
      <c r="F46">
        <v>-9.81</v>
      </c>
      <c r="G46" s="4">
        <v>-4.0884999999999998</v>
      </c>
      <c r="H46" s="4">
        <f t="shared" si="1"/>
        <v>0.41676860346585115</v>
      </c>
    </row>
    <row r="47" spans="1:8" x14ac:dyDescent="0.3">
      <c r="A47" s="4">
        <v>0.75166670000000002</v>
      </c>
      <c r="B47" s="4">
        <v>3.9105780000000001</v>
      </c>
      <c r="C47" s="4">
        <f t="shared" si="0"/>
        <v>3.8725181252190559</v>
      </c>
      <c r="D47" s="4">
        <v>0.33660410000000002</v>
      </c>
      <c r="F47">
        <v>-9.81</v>
      </c>
      <c r="G47" s="4">
        <v>-4.0884999999999998</v>
      </c>
      <c r="H47" s="4">
        <f t="shared" si="1"/>
        <v>0.41676860346585115</v>
      </c>
    </row>
    <row r="48" spans="1:8" x14ac:dyDescent="0.3">
      <c r="A48" s="4">
        <v>0.7683333</v>
      </c>
      <c r="B48" s="4">
        <v>4.0121520000000004</v>
      </c>
      <c r="C48" s="4">
        <f t="shared" si="0"/>
        <v>3.8887140165153276</v>
      </c>
      <c r="D48" s="4">
        <v>0.27904580000000001</v>
      </c>
      <c r="F48">
        <v>-9.81</v>
      </c>
      <c r="G48" s="4">
        <v>-4.0884999999999998</v>
      </c>
      <c r="H48" s="4">
        <f t="shared" si="1"/>
        <v>0.41676860346585115</v>
      </c>
    </row>
    <row r="49" spans="1:8" x14ac:dyDescent="0.3">
      <c r="A49" s="4">
        <v>0.78500000000000003</v>
      </c>
      <c r="B49" s="4">
        <v>3.859791</v>
      </c>
      <c r="C49" s="4">
        <f t="shared" si="0"/>
        <v>3.9037236971845526</v>
      </c>
      <c r="D49" s="4">
        <v>0.20286570000000001</v>
      </c>
      <c r="F49">
        <v>-9.81</v>
      </c>
      <c r="G49" s="4">
        <v>-4.0884999999999998</v>
      </c>
      <c r="H49" s="4">
        <f t="shared" si="1"/>
        <v>0.41676860346585115</v>
      </c>
    </row>
    <row r="50" spans="1:8" x14ac:dyDescent="0.3">
      <c r="A50" s="4">
        <v>0.80166669999999995</v>
      </c>
      <c r="B50" s="4">
        <v>3.7074310000000001</v>
      </c>
      <c r="C50" s="4">
        <f t="shared" si="0"/>
        <v>3.917629872803559</v>
      </c>
      <c r="D50" s="4">
        <v>0.15038599999999999</v>
      </c>
      <c r="F50">
        <v>-9.81</v>
      </c>
      <c r="G50" s="4">
        <v>-4.0884999999999998</v>
      </c>
      <c r="H50" s="4">
        <f t="shared" si="1"/>
        <v>0.41676860346585115</v>
      </c>
    </row>
    <row r="51" spans="1:8" x14ac:dyDescent="0.3">
      <c r="A51" s="4">
        <v>0.81833330000000004</v>
      </c>
      <c r="B51" s="4">
        <v>4.2660850000000003</v>
      </c>
      <c r="C51" s="4">
        <f t="shared" si="0"/>
        <v>3.9305100905656105</v>
      </c>
      <c r="D51" s="4">
        <v>7.9284629999999995E-2</v>
      </c>
      <c r="F51">
        <v>-9.81</v>
      </c>
      <c r="G51" s="4">
        <v>-4.0884999999999998</v>
      </c>
      <c r="H51" s="4">
        <f t="shared" si="1"/>
        <v>0.41676860346585115</v>
      </c>
    </row>
    <row r="52" spans="1:8" x14ac:dyDescent="0.3">
      <c r="A52" s="4">
        <v>0.83499999999999996</v>
      </c>
      <c r="B52" s="4">
        <v>0</v>
      </c>
      <c r="C52" s="4">
        <f t="shared" si="0"/>
        <v>3.9424371774957874</v>
      </c>
      <c r="D52" s="4">
        <v>8.1832080000000008E-3</v>
      </c>
      <c r="F52">
        <v>-9.81</v>
      </c>
      <c r="G52" s="4">
        <v>-4.0884999999999998</v>
      </c>
      <c r="H52" s="4">
        <f t="shared" si="1"/>
        <v>0.41676860346585115</v>
      </c>
    </row>
    <row r="53" spans="1:8" x14ac:dyDescent="0.3">
      <c r="G53" t="s">
        <v>18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6EE0B-B19D-4FC7-84B3-685BEC9F3E4B}">
  <dimension ref="A1:L16"/>
  <sheetViews>
    <sheetView zoomScaleNormal="100" workbookViewId="0">
      <selection activeCell="H24" sqref="H24"/>
    </sheetView>
  </sheetViews>
  <sheetFormatPr defaultRowHeight="15.6" x14ac:dyDescent="0.3"/>
  <cols>
    <col min="2" max="2" width="4.69921875" customWidth="1"/>
    <col min="3" max="3" width="15.59765625" customWidth="1"/>
    <col min="4" max="4" width="16.296875" customWidth="1"/>
    <col min="8" max="8" width="18.3984375" bestFit="1" customWidth="1"/>
    <col min="9" max="9" width="24.5" customWidth="1"/>
    <col min="10" max="10" width="16.59765625" customWidth="1"/>
  </cols>
  <sheetData>
    <row r="1" spans="1:12" x14ac:dyDescent="0.3">
      <c r="A1" t="s">
        <v>21</v>
      </c>
      <c r="B1" t="s">
        <v>6</v>
      </c>
      <c r="C1" t="s">
        <v>22</v>
      </c>
      <c r="D1" t="s">
        <v>20</v>
      </c>
      <c r="H1" t="s">
        <v>7</v>
      </c>
      <c r="I1" t="s">
        <v>8</v>
      </c>
      <c r="J1" t="s">
        <v>9</v>
      </c>
    </row>
    <row r="2" spans="1:12" x14ac:dyDescent="0.3">
      <c r="A2" s="4">
        <v>0.94</v>
      </c>
      <c r="B2">
        <v>1</v>
      </c>
      <c r="C2" s="4">
        <f>A2*A2</f>
        <v>0.88359999999999994</v>
      </c>
      <c r="D2" s="4">
        <f xml:space="preserve"> (0.00155 * B2)</f>
        <v>1.5499999999999999E-3</v>
      </c>
      <c r="H2" s="4">
        <v>-9.81</v>
      </c>
      <c r="I2" s="3">
        <f>PI() * I5 * I5</f>
        <v>3.6983614116222439E-2</v>
      </c>
      <c r="J2" s="4">
        <v>1.29</v>
      </c>
    </row>
    <row r="3" spans="1:12" x14ac:dyDescent="0.3">
      <c r="A3" s="4">
        <v>1.27</v>
      </c>
      <c r="B3">
        <v>2</v>
      </c>
      <c r="C3" s="4">
        <f>A3*A3</f>
        <v>1.6129</v>
      </c>
      <c r="D3" s="4">
        <f xml:space="preserve"> (0.00155 * B3)</f>
        <v>3.0999999999999999E-3</v>
      </c>
    </row>
    <row r="4" spans="1:12" x14ac:dyDescent="0.3">
      <c r="A4" s="4">
        <v>2.08</v>
      </c>
      <c r="B4">
        <v>3</v>
      </c>
      <c r="C4" s="4">
        <f>A4*A4</f>
        <v>4.3264000000000005</v>
      </c>
      <c r="D4" s="4">
        <f xml:space="preserve"> (0.00155 * B4)</f>
        <v>4.6499999999999996E-3</v>
      </c>
      <c r="I4" t="s">
        <v>19</v>
      </c>
    </row>
    <row r="5" spans="1:12" x14ac:dyDescent="0.3">
      <c r="A5" s="4">
        <v>1.56</v>
      </c>
      <c r="B5">
        <v>4</v>
      </c>
      <c r="C5" s="4">
        <f>A5*A5</f>
        <v>2.4336000000000002</v>
      </c>
      <c r="D5" s="4">
        <f xml:space="preserve"> (0.00155 * B5)</f>
        <v>6.1999999999999998E-3</v>
      </c>
      <c r="I5" s="4">
        <v>0.1085</v>
      </c>
    </row>
    <row r="6" spans="1:12" x14ac:dyDescent="0.3">
      <c r="A6" s="4">
        <v>1.96</v>
      </c>
      <c r="B6">
        <v>5</v>
      </c>
      <c r="C6" s="4">
        <f>A6*A6</f>
        <v>3.8415999999999997</v>
      </c>
      <c r="D6" s="4">
        <f xml:space="preserve"> (0.00155 * B6)</f>
        <v>7.7499999999999999E-3</v>
      </c>
    </row>
    <row r="7" spans="1:12" x14ac:dyDescent="0.3">
      <c r="A7" s="4">
        <v>3.11</v>
      </c>
      <c r="B7">
        <v>10</v>
      </c>
      <c r="C7" s="4">
        <f>A7*A7</f>
        <v>9.6720999999999986</v>
      </c>
      <c r="D7" s="4">
        <f xml:space="preserve"> (0.00155 * B7)</f>
        <v>1.55E-2</v>
      </c>
    </row>
    <row r="8" spans="1:12" x14ac:dyDescent="0.3">
      <c r="A8" s="4">
        <v>4.0890000000000004</v>
      </c>
      <c r="B8">
        <v>20</v>
      </c>
      <c r="C8" s="4">
        <f>A8*A8</f>
        <v>16.719921000000003</v>
      </c>
      <c r="D8" s="4">
        <f xml:space="preserve"> (0.00155 * B8)</f>
        <v>3.1E-2</v>
      </c>
    </row>
    <row r="12" spans="1:12" x14ac:dyDescent="0.3">
      <c r="I12" t="s">
        <v>23</v>
      </c>
      <c r="J12" cm="1">
        <f t="array" ref="J12:K16">LINEST(C2:C8, B2:B8, TRUE, TRUE)</f>
        <v>0.84032123387096802</v>
      </c>
      <c r="K12">
        <v>0.23938078225806247</v>
      </c>
      <c r="L12" t="s">
        <v>25</v>
      </c>
    </row>
    <row r="13" spans="1:12" x14ac:dyDescent="0.3">
      <c r="I13" t="s">
        <v>24</v>
      </c>
      <c r="J13">
        <v>6.4181295145888745E-2</v>
      </c>
      <c r="K13">
        <v>0.57148646388982116</v>
      </c>
      <c r="L13" t="s">
        <v>26</v>
      </c>
    </row>
    <row r="14" spans="1:12" x14ac:dyDescent="0.3">
      <c r="J14">
        <v>0.97165931768579028</v>
      </c>
      <c r="K14">
        <v>1.0462029223190776</v>
      </c>
    </row>
    <row r="15" spans="1:12" x14ac:dyDescent="0.3">
      <c r="J15">
        <v>171.42482790518565</v>
      </c>
      <c r="K15">
        <v>5</v>
      </c>
    </row>
    <row r="16" spans="1:12" x14ac:dyDescent="0.3">
      <c r="J16">
        <v>187.63142621937604</v>
      </c>
      <c r="K16">
        <v>5.4727027733448912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 sheet</vt:lpstr>
      <vt:lpstr>2 sheets</vt:lpstr>
      <vt:lpstr>3 sheets</vt:lpstr>
      <vt:lpstr>4 sheets</vt:lpstr>
      <vt:lpstr>5 sheets</vt:lpstr>
      <vt:lpstr>10 sheets</vt:lpstr>
      <vt:lpstr>20 sheets</vt:lpstr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Misbah Ahmed Nauman</dc:creator>
  <cp:lastModifiedBy>Misbah Ahmed</cp:lastModifiedBy>
  <dcterms:created xsi:type="dcterms:W3CDTF">2024-01-30T21:58:40Z</dcterms:created>
  <dcterms:modified xsi:type="dcterms:W3CDTF">2024-02-03T18:55:36Z</dcterms:modified>
</cp:coreProperties>
</file>