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ba\OneDrive\Desktop\"/>
    </mc:Choice>
  </mc:AlternateContent>
  <xr:revisionPtr revIDLastSave="0" documentId="13_ncr:1_{FB64ABA9-1B12-4E4E-840A-CE912B0AB28D}" xr6:coauthVersionLast="47" xr6:coauthVersionMax="47" xr10:uidLastSave="{00000000-0000-0000-0000-000000000000}"/>
  <bookViews>
    <workbookView xWindow="-108" yWindow="-108" windowWidth="23256" windowHeight="12456" activeTab="1" xr2:uid="{278F4AB6-FE0D-4442-8C22-EC242F7BFF6A}"/>
  </bookViews>
  <sheets>
    <sheet name="3 oscillations" sheetId="1" r:id="rId1"/>
    <sheet name="for 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 a="1"/>
  <c r="H26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D184" i="2" s="1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D208" i="2" s="1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D232" i="2" s="1"/>
  <c r="C233" i="2"/>
  <c r="C234" i="2"/>
  <c r="C235" i="2"/>
  <c r="C236" i="2"/>
  <c r="C237" i="2"/>
  <c r="C238" i="2"/>
  <c r="C239" i="2"/>
  <c r="C240" i="2"/>
  <c r="C241" i="2"/>
  <c r="C242" i="2"/>
  <c r="C243" i="2"/>
  <c r="C244" i="2"/>
  <c r="D244" i="2" s="1"/>
  <c r="C245" i="2"/>
  <c r="C246" i="2"/>
  <c r="C247" i="2"/>
  <c r="C248" i="2"/>
  <c r="C249" i="2"/>
  <c r="C250" i="2"/>
  <c r="C251" i="2"/>
  <c r="C252" i="2"/>
  <c r="C253" i="2"/>
  <c r="C254" i="2"/>
  <c r="C255" i="2"/>
  <c r="C2" i="2"/>
  <c r="B3" i="2"/>
  <c r="B4" i="2"/>
  <c r="B5" i="2"/>
  <c r="B6" i="2"/>
  <c r="B7" i="2"/>
  <c r="B8" i="2"/>
  <c r="B9" i="2"/>
  <c r="B10" i="2"/>
  <c r="B11" i="2"/>
  <c r="D11" i="2" s="1"/>
  <c r="B12" i="2"/>
  <c r="B13" i="2"/>
  <c r="B14" i="2"/>
  <c r="B15" i="2"/>
  <c r="B16" i="2"/>
  <c r="B17" i="2"/>
  <c r="B18" i="2"/>
  <c r="B19" i="2"/>
  <c r="B20" i="2"/>
  <c r="B21" i="2"/>
  <c r="B22" i="2"/>
  <c r="B23" i="2"/>
  <c r="D23" i="2" s="1"/>
  <c r="B24" i="2"/>
  <c r="B25" i="2"/>
  <c r="B26" i="2"/>
  <c r="B27" i="2"/>
  <c r="B28" i="2"/>
  <c r="B29" i="2"/>
  <c r="B30" i="2"/>
  <c r="B31" i="2"/>
  <c r="B32" i="2"/>
  <c r="B33" i="2"/>
  <c r="B34" i="2"/>
  <c r="B35" i="2"/>
  <c r="D35" i="2" s="1"/>
  <c r="B36" i="2"/>
  <c r="B37" i="2"/>
  <c r="B38" i="2"/>
  <c r="B39" i="2"/>
  <c r="B40" i="2"/>
  <c r="B41" i="2"/>
  <c r="B42" i="2"/>
  <c r="B43" i="2"/>
  <c r="B44" i="2"/>
  <c r="B45" i="2"/>
  <c r="B46" i="2"/>
  <c r="B47" i="2"/>
  <c r="D47" i="2" s="1"/>
  <c r="B48" i="2"/>
  <c r="B49" i="2"/>
  <c r="B50" i="2"/>
  <c r="B51" i="2"/>
  <c r="B52" i="2"/>
  <c r="B53" i="2"/>
  <c r="B54" i="2"/>
  <c r="B55" i="2"/>
  <c r="B56" i="2"/>
  <c r="B57" i="2"/>
  <c r="B58" i="2"/>
  <c r="B59" i="2"/>
  <c r="D59" i="2" s="1"/>
  <c r="B60" i="2"/>
  <c r="B61" i="2"/>
  <c r="B62" i="2"/>
  <c r="B63" i="2"/>
  <c r="B64" i="2"/>
  <c r="B65" i="2"/>
  <c r="B66" i="2"/>
  <c r="B67" i="2"/>
  <c r="B68" i="2"/>
  <c r="B69" i="2"/>
  <c r="B70" i="2"/>
  <c r="B71" i="2"/>
  <c r="D71" i="2" s="1"/>
  <c r="B72" i="2"/>
  <c r="B73" i="2"/>
  <c r="B74" i="2"/>
  <c r="B75" i="2"/>
  <c r="B76" i="2"/>
  <c r="B77" i="2"/>
  <c r="B78" i="2"/>
  <c r="B79" i="2"/>
  <c r="B80" i="2"/>
  <c r="B81" i="2"/>
  <c r="B82" i="2"/>
  <c r="B83" i="2"/>
  <c r="D83" i="2" s="1"/>
  <c r="B84" i="2"/>
  <c r="B85" i="2"/>
  <c r="B86" i="2"/>
  <c r="B87" i="2"/>
  <c r="B88" i="2"/>
  <c r="B89" i="2"/>
  <c r="B90" i="2"/>
  <c r="B91" i="2"/>
  <c r="B92" i="2"/>
  <c r="B93" i="2"/>
  <c r="B94" i="2"/>
  <c r="B95" i="2"/>
  <c r="D95" i="2" s="1"/>
  <c r="B96" i="2"/>
  <c r="B97" i="2"/>
  <c r="B98" i="2"/>
  <c r="B99" i="2"/>
  <c r="B100" i="2"/>
  <c r="B101" i="2"/>
  <c r="B102" i="2"/>
  <c r="B103" i="2"/>
  <c r="B104" i="2"/>
  <c r="B105" i="2"/>
  <c r="B106" i="2"/>
  <c r="B107" i="2"/>
  <c r="D107" i="2" s="1"/>
  <c r="B108" i="2"/>
  <c r="B109" i="2"/>
  <c r="B110" i="2"/>
  <c r="B111" i="2"/>
  <c r="B112" i="2"/>
  <c r="B113" i="2"/>
  <c r="B114" i="2"/>
  <c r="B115" i="2"/>
  <c r="B116" i="2"/>
  <c r="B117" i="2"/>
  <c r="B118" i="2"/>
  <c r="B119" i="2"/>
  <c r="D119" i="2" s="1"/>
  <c r="B120" i="2"/>
  <c r="B121" i="2"/>
  <c r="B122" i="2"/>
  <c r="B123" i="2"/>
  <c r="B124" i="2"/>
  <c r="B125" i="2"/>
  <c r="B126" i="2"/>
  <c r="B127" i="2"/>
  <c r="B128" i="2"/>
  <c r="B129" i="2"/>
  <c r="B130" i="2"/>
  <c r="B131" i="2"/>
  <c r="D131" i="2" s="1"/>
  <c r="B132" i="2"/>
  <c r="B133" i="2"/>
  <c r="B134" i="2"/>
  <c r="B135" i="2"/>
  <c r="B136" i="2"/>
  <c r="B137" i="2"/>
  <c r="B138" i="2"/>
  <c r="B139" i="2"/>
  <c r="B140" i="2"/>
  <c r="B141" i="2"/>
  <c r="B142" i="2"/>
  <c r="B143" i="2"/>
  <c r="D143" i="2" s="1"/>
  <c r="B144" i="2"/>
  <c r="B145" i="2"/>
  <c r="B146" i="2"/>
  <c r="B147" i="2"/>
  <c r="B148" i="2"/>
  <c r="B149" i="2"/>
  <c r="B150" i="2"/>
  <c r="B151" i="2"/>
  <c r="B152" i="2"/>
  <c r="B153" i="2"/>
  <c r="B154" i="2"/>
  <c r="B155" i="2"/>
  <c r="D155" i="2" s="1"/>
  <c r="B156" i="2"/>
  <c r="B157" i="2"/>
  <c r="B158" i="2"/>
  <c r="B159" i="2"/>
  <c r="B160" i="2"/>
  <c r="B161" i="2"/>
  <c r="B162" i="2"/>
  <c r="B163" i="2"/>
  <c r="B164" i="2"/>
  <c r="B165" i="2"/>
  <c r="B166" i="2"/>
  <c r="B167" i="2"/>
  <c r="D167" i="2" s="1"/>
  <c r="B168" i="2"/>
  <c r="B169" i="2"/>
  <c r="B170" i="2"/>
  <c r="B171" i="2"/>
  <c r="B172" i="2"/>
  <c r="B173" i="2"/>
  <c r="B174" i="2"/>
  <c r="B175" i="2"/>
  <c r="B176" i="2"/>
  <c r="B177" i="2"/>
  <c r="B178" i="2"/>
  <c r="B179" i="2"/>
  <c r="D179" i="2" s="1"/>
  <c r="B180" i="2"/>
  <c r="B181" i="2"/>
  <c r="B182" i="2"/>
  <c r="B183" i="2"/>
  <c r="B184" i="2"/>
  <c r="B185" i="2"/>
  <c r="B186" i="2"/>
  <c r="B187" i="2"/>
  <c r="B188" i="2"/>
  <c r="B189" i="2"/>
  <c r="B190" i="2"/>
  <c r="B191" i="2"/>
  <c r="D191" i="2" s="1"/>
  <c r="B192" i="2"/>
  <c r="B193" i="2"/>
  <c r="B194" i="2"/>
  <c r="B195" i="2"/>
  <c r="B196" i="2"/>
  <c r="B197" i="2"/>
  <c r="B198" i="2"/>
  <c r="B199" i="2"/>
  <c r="B200" i="2"/>
  <c r="B201" i="2"/>
  <c r="B202" i="2"/>
  <c r="B203" i="2"/>
  <c r="D203" i="2" s="1"/>
  <c r="B204" i="2"/>
  <c r="B205" i="2"/>
  <c r="B206" i="2"/>
  <c r="B207" i="2"/>
  <c r="B208" i="2"/>
  <c r="B209" i="2"/>
  <c r="B210" i="2"/>
  <c r="B211" i="2"/>
  <c r="B212" i="2"/>
  <c r="B213" i="2"/>
  <c r="B214" i="2"/>
  <c r="B215" i="2"/>
  <c r="D215" i="2" s="1"/>
  <c r="B216" i="2"/>
  <c r="B217" i="2"/>
  <c r="B218" i="2"/>
  <c r="B219" i="2"/>
  <c r="B220" i="2"/>
  <c r="B221" i="2"/>
  <c r="B222" i="2"/>
  <c r="B223" i="2"/>
  <c r="B224" i="2"/>
  <c r="B225" i="2"/>
  <c r="B226" i="2"/>
  <c r="B227" i="2"/>
  <c r="D227" i="2" s="1"/>
  <c r="B228" i="2"/>
  <c r="B229" i="2"/>
  <c r="B230" i="2"/>
  <c r="B231" i="2"/>
  <c r="B232" i="2"/>
  <c r="B233" i="2"/>
  <c r="B234" i="2"/>
  <c r="B235" i="2"/>
  <c r="B236" i="2"/>
  <c r="B237" i="2"/>
  <c r="D237" i="2" s="1"/>
  <c r="B238" i="2"/>
  <c r="D238" i="2" s="1"/>
  <c r="B239" i="2"/>
  <c r="D239" i="2" s="1"/>
  <c r="B240" i="2"/>
  <c r="B241" i="2"/>
  <c r="B242" i="2"/>
  <c r="B243" i="2"/>
  <c r="B244" i="2"/>
  <c r="B245" i="2"/>
  <c r="B246" i="2"/>
  <c r="B247" i="2"/>
  <c r="B248" i="2"/>
  <c r="B249" i="2"/>
  <c r="D249" i="2" s="1"/>
  <c r="B250" i="2"/>
  <c r="D250" i="2" s="1"/>
  <c r="B251" i="2"/>
  <c r="D251" i="2" s="1"/>
  <c r="B252" i="2"/>
  <c r="B253" i="2"/>
  <c r="B254" i="2"/>
  <c r="B255" i="2"/>
  <c r="D255" i="2" s="1"/>
  <c r="B2" i="2"/>
  <c r="D254" i="2"/>
  <c r="D252" i="2"/>
  <c r="D248" i="2"/>
  <c r="D247" i="2"/>
  <c r="D246" i="2"/>
  <c r="D245" i="2"/>
  <c r="D243" i="2"/>
  <c r="D242" i="2"/>
  <c r="D240" i="2"/>
  <c r="D236" i="2"/>
  <c r="D235" i="2"/>
  <c r="D234" i="2"/>
  <c r="D233" i="2"/>
  <c r="D231" i="2"/>
  <c r="D230" i="2"/>
  <c r="D228" i="2"/>
  <c r="D226" i="2"/>
  <c r="D225" i="2"/>
  <c r="D224" i="2"/>
  <c r="D223" i="2"/>
  <c r="D222" i="2"/>
  <c r="D221" i="2"/>
  <c r="D220" i="2"/>
  <c r="D219" i="2"/>
  <c r="D218" i="2"/>
  <c r="D216" i="2"/>
  <c r="D214" i="2"/>
  <c r="D213" i="2"/>
  <c r="D212" i="2"/>
  <c r="D211" i="2"/>
  <c r="D210" i="2"/>
  <c r="D209" i="2"/>
  <c r="D207" i="2"/>
  <c r="D206" i="2"/>
  <c r="D204" i="2"/>
  <c r="D202" i="2"/>
  <c r="D201" i="2"/>
  <c r="D200" i="2"/>
  <c r="D199" i="2"/>
  <c r="D198" i="2"/>
  <c r="D197" i="2"/>
  <c r="D196" i="2"/>
  <c r="D195" i="2"/>
  <c r="D194" i="2"/>
  <c r="D192" i="2"/>
  <c r="D190" i="2"/>
  <c r="D189" i="2"/>
  <c r="D188" i="2"/>
  <c r="D187" i="2"/>
  <c r="D186" i="2"/>
  <c r="D185" i="2"/>
  <c r="D183" i="2"/>
  <c r="D182" i="2"/>
  <c r="D180" i="2"/>
  <c r="D178" i="2"/>
  <c r="D177" i="2"/>
  <c r="D176" i="2"/>
  <c r="D175" i="2"/>
  <c r="D174" i="2"/>
  <c r="D173" i="2"/>
  <c r="D172" i="2"/>
  <c r="D171" i="2"/>
  <c r="D170" i="2"/>
  <c r="D168" i="2"/>
  <c r="D166" i="2"/>
  <c r="D165" i="2"/>
  <c r="D164" i="2"/>
  <c r="D163" i="2"/>
  <c r="D162" i="2"/>
  <c r="D161" i="2"/>
  <c r="D160" i="2"/>
  <c r="D159" i="2"/>
  <c r="D158" i="2"/>
  <c r="D156" i="2"/>
  <c r="D154" i="2"/>
  <c r="D153" i="2"/>
  <c r="D152" i="2"/>
  <c r="D151" i="2"/>
  <c r="D150" i="2"/>
  <c r="D149" i="2"/>
  <c r="D148" i="2"/>
  <c r="D147" i="2"/>
  <c r="D146" i="2"/>
  <c r="D144" i="2"/>
  <c r="D142" i="2"/>
  <c r="D141" i="2"/>
  <c r="D140" i="2"/>
  <c r="D139" i="2"/>
  <c r="D138" i="2"/>
  <c r="D137" i="2"/>
  <c r="D136" i="2"/>
  <c r="D135" i="2"/>
  <c r="D134" i="2"/>
  <c r="D132" i="2"/>
  <c r="D130" i="2"/>
  <c r="D129" i="2"/>
  <c r="D128" i="2"/>
  <c r="D127" i="2"/>
  <c r="D126" i="2"/>
  <c r="D125" i="2"/>
  <c r="D124" i="2"/>
  <c r="D123" i="2"/>
  <c r="D122" i="2"/>
  <c r="D120" i="2"/>
  <c r="D118" i="2"/>
  <c r="D117" i="2"/>
  <c r="D116" i="2"/>
  <c r="D115" i="2"/>
  <c r="D114" i="2"/>
  <c r="D113" i="2"/>
  <c r="D112" i="2"/>
  <c r="D111" i="2"/>
  <c r="D110" i="2"/>
  <c r="D108" i="2"/>
  <c r="D106" i="2"/>
  <c r="D105" i="2"/>
  <c r="D104" i="2"/>
  <c r="D103" i="2"/>
  <c r="D102" i="2"/>
  <c r="D101" i="2"/>
  <c r="D100" i="2"/>
  <c r="D99" i="2"/>
  <c r="D98" i="2"/>
  <c r="D96" i="2"/>
  <c r="D94" i="2"/>
  <c r="D93" i="2"/>
  <c r="D92" i="2"/>
  <c r="D91" i="2"/>
  <c r="D90" i="2"/>
  <c r="D89" i="2"/>
  <c r="D88" i="2"/>
  <c r="D87" i="2"/>
  <c r="D86" i="2"/>
  <c r="D84" i="2"/>
  <c r="D82" i="2"/>
  <c r="D81" i="2"/>
  <c r="D80" i="2"/>
  <c r="D79" i="2"/>
  <c r="D78" i="2"/>
  <c r="D77" i="2"/>
  <c r="D76" i="2"/>
  <c r="D75" i="2"/>
  <c r="D74" i="2"/>
  <c r="D72" i="2"/>
  <c r="D70" i="2"/>
  <c r="D69" i="2"/>
  <c r="D68" i="2"/>
  <c r="D67" i="2"/>
  <c r="D66" i="2"/>
  <c r="D65" i="2"/>
  <c r="D64" i="2"/>
  <c r="D63" i="2"/>
  <c r="D62" i="2"/>
  <c r="D60" i="2"/>
  <c r="D58" i="2"/>
  <c r="D57" i="2"/>
  <c r="D56" i="2"/>
  <c r="D55" i="2"/>
  <c r="D54" i="2"/>
  <c r="D53" i="2"/>
  <c r="D52" i="2"/>
  <c r="D51" i="2"/>
  <c r="D50" i="2"/>
  <c r="D48" i="2"/>
  <c r="D46" i="2"/>
  <c r="D45" i="2"/>
  <c r="D44" i="2"/>
  <c r="D43" i="2"/>
  <c r="D42" i="2"/>
  <c r="D41" i="2"/>
  <c r="D40" i="2"/>
  <c r="D39" i="2"/>
  <c r="D38" i="2"/>
  <c r="D36" i="2"/>
  <c r="D34" i="2"/>
  <c r="D33" i="2"/>
  <c r="D32" i="2"/>
  <c r="D31" i="2"/>
  <c r="D30" i="2"/>
  <c r="D29" i="2"/>
  <c r="D28" i="2"/>
  <c r="D27" i="2"/>
  <c r="D26" i="2"/>
  <c r="D24" i="2"/>
  <c r="D22" i="2"/>
  <c r="D21" i="2"/>
  <c r="D20" i="2"/>
  <c r="D19" i="2"/>
  <c r="D18" i="2"/>
  <c r="D17" i="2"/>
  <c r="D16" i="2"/>
  <c r="D15" i="2"/>
  <c r="D14" i="2"/>
  <c r="D12" i="2"/>
  <c r="D10" i="2"/>
  <c r="D9" i="2"/>
  <c r="D8" i="2"/>
  <c r="D7" i="2"/>
  <c r="D6" i="2"/>
  <c r="D5" i="2"/>
  <c r="D4" i="2"/>
  <c r="D3" i="2"/>
  <c r="D2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2" i="1"/>
  <c r="D253" i="2" l="1"/>
  <c r="D241" i="2"/>
  <c r="D229" i="2"/>
  <c r="D217" i="2"/>
  <c r="D205" i="2"/>
  <c r="D193" i="2"/>
  <c r="D181" i="2"/>
  <c r="D169" i="2"/>
  <c r="D157" i="2"/>
  <c r="D145" i="2"/>
  <c r="D133" i="2"/>
  <c r="D121" i="2"/>
  <c r="D109" i="2"/>
  <c r="D97" i="2"/>
  <c r="D85" i="2"/>
  <c r="D73" i="2"/>
  <c r="D61" i="2"/>
  <c r="D49" i="2"/>
  <c r="D37" i="2"/>
  <c r="D25" i="2"/>
  <c r="D13" i="2"/>
  <c r="H31" i="1"/>
  <c r="H3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<sst xmlns="http://schemas.openxmlformats.org/spreadsheetml/2006/main" count="25" uniqueCount="17">
  <si>
    <t>Time (s)</t>
  </si>
  <si>
    <t>Y-position (m)</t>
  </si>
  <si>
    <t>X-Velocity (m/s)</t>
  </si>
  <si>
    <t>Y-Velocity (m/s)</t>
  </si>
  <si>
    <t>Velocity (m/s)</t>
  </si>
  <si>
    <t>U (J)</t>
  </si>
  <si>
    <t>Mass (kg)</t>
  </si>
  <si>
    <t>Gravity (m/s^2)</t>
  </si>
  <si>
    <t>error=0.00001</t>
  </si>
  <si>
    <t>K (J)</t>
  </si>
  <si>
    <t>E (J)</t>
  </si>
  <si>
    <t>Potential Energy,U (J)</t>
  </si>
  <si>
    <t>Kinetic Energy, K (J)</t>
  </si>
  <si>
    <t>Total Energy, E (J)</t>
  </si>
  <si>
    <t>slope</t>
  </si>
  <si>
    <t>unc</t>
  </si>
  <si>
    <t>y-intercept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</si>
</sst>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Plot</a:t>
            </a:r>
            <a:r>
              <a:rPr lang="en-US" sz="1400" b="1" baseline="0"/>
              <a:t> of Potential Energy (U), Kinetic Energy (K), and Total Energy (E) against Time</a:t>
            </a:r>
            <a:endParaRPr lang="en-US" sz="1400" b="1"/>
          </a:p>
        </c:rich>
      </c:tx>
      <c:layout>
        <c:manualLayout>
          <c:xMode val="edge"/>
          <c:yMode val="edge"/>
          <c:x val="0.10761374187558032"/>
          <c:y val="1.9436345966958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 graph'!$B$1</c:f>
              <c:strCache>
                <c:ptCount val="1"/>
                <c:pt idx="0">
                  <c:v>U (J)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'for graph'!$A$2:$A$255</c:f>
              <c:numCache>
                <c:formatCode>0.000</c:formatCode>
                <c:ptCount val="25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0.51700000000000002</c:v>
                </c:pt>
                <c:pt idx="32">
                  <c:v>0.53300000000000003</c:v>
                </c:pt>
                <c:pt idx="33">
                  <c:v>0.55000000000000004</c:v>
                </c:pt>
                <c:pt idx="34">
                  <c:v>0.56699999999999995</c:v>
                </c:pt>
                <c:pt idx="35">
                  <c:v>0.58299999999999996</c:v>
                </c:pt>
                <c:pt idx="36">
                  <c:v>0.6</c:v>
                </c:pt>
                <c:pt idx="37">
                  <c:v>0.61699999999999999</c:v>
                </c:pt>
                <c:pt idx="38">
                  <c:v>0.63300000000000001</c:v>
                </c:pt>
                <c:pt idx="39">
                  <c:v>0.65</c:v>
                </c:pt>
                <c:pt idx="40">
                  <c:v>0.66700000000000004</c:v>
                </c:pt>
                <c:pt idx="41">
                  <c:v>0.68300000000000005</c:v>
                </c:pt>
                <c:pt idx="42">
                  <c:v>0.7</c:v>
                </c:pt>
                <c:pt idx="43">
                  <c:v>0.71699999999999997</c:v>
                </c:pt>
                <c:pt idx="44">
                  <c:v>0.73299999999999998</c:v>
                </c:pt>
                <c:pt idx="45">
                  <c:v>0.75</c:v>
                </c:pt>
                <c:pt idx="46">
                  <c:v>0.76700000000000002</c:v>
                </c:pt>
                <c:pt idx="47">
                  <c:v>0.78300000000000003</c:v>
                </c:pt>
                <c:pt idx="48">
                  <c:v>0.8</c:v>
                </c:pt>
                <c:pt idx="49">
                  <c:v>0.81699999999999995</c:v>
                </c:pt>
                <c:pt idx="50">
                  <c:v>0.83299999999999996</c:v>
                </c:pt>
                <c:pt idx="51">
                  <c:v>0.85</c:v>
                </c:pt>
                <c:pt idx="52">
                  <c:v>0.86699999999999999</c:v>
                </c:pt>
                <c:pt idx="53">
                  <c:v>0.88300000000000001</c:v>
                </c:pt>
                <c:pt idx="54">
                  <c:v>0.9</c:v>
                </c:pt>
                <c:pt idx="55">
                  <c:v>0.91700000000000004</c:v>
                </c:pt>
                <c:pt idx="56">
                  <c:v>0.93300000000000005</c:v>
                </c:pt>
                <c:pt idx="57">
                  <c:v>0.95</c:v>
                </c:pt>
                <c:pt idx="58">
                  <c:v>0.96699999999999997</c:v>
                </c:pt>
                <c:pt idx="59">
                  <c:v>0.98299999999999998</c:v>
                </c:pt>
                <c:pt idx="60">
                  <c:v>1</c:v>
                </c:pt>
                <c:pt idx="61">
                  <c:v>1.0169999999999999</c:v>
                </c:pt>
                <c:pt idx="62">
                  <c:v>1.0329999999999999</c:v>
                </c:pt>
                <c:pt idx="63">
                  <c:v>1.05</c:v>
                </c:pt>
                <c:pt idx="64">
                  <c:v>1.0669999999999999</c:v>
                </c:pt>
                <c:pt idx="65">
                  <c:v>1.083</c:v>
                </c:pt>
                <c:pt idx="66">
                  <c:v>1.1000000000000001</c:v>
                </c:pt>
                <c:pt idx="67">
                  <c:v>1.117</c:v>
                </c:pt>
                <c:pt idx="68">
                  <c:v>1.133</c:v>
                </c:pt>
                <c:pt idx="69">
                  <c:v>1.1499999999999999</c:v>
                </c:pt>
                <c:pt idx="70">
                  <c:v>1.167</c:v>
                </c:pt>
                <c:pt idx="71">
                  <c:v>1.1830000000000001</c:v>
                </c:pt>
                <c:pt idx="72">
                  <c:v>1.2</c:v>
                </c:pt>
                <c:pt idx="73">
                  <c:v>1.2170000000000001</c:v>
                </c:pt>
                <c:pt idx="74">
                  <c:v>1.2330000000000001</c:v>
                </c:pt>
                <c:pt idx="75">
                  <c:v>1.25</c:v>
                </c:pt>
                <c:pt idx="76">
                  <c:v>1.2669999999999999</c:v>
                </c:pt>
                <c:pt idx="77">
                  <c:v>1.2829999999999999</c:v>
                </c:pt>
                <c:pt idx="78">
                  <c:v>1.3</c:v>
                </c:pt>
                <c:pt idx="79">
                  <c:v>1.3169999999999999</c:v>
                </c:pt>
                <c:pt idx="80">
                  <c:v>1.333</c:v>
                </c:pt>
                <c:pt idx="81">
                  <c:v>1.35</c:v>
                </c:pt>
                <c:pt idx="82">
                  <c:v>1.367</c:v>
                </c:pt>
                <c:pt idx="83">
                  <c:v>1.383</c:v>
                </c:pt>
                <c:pt idx="84">
                  <c:v>1.4</c:v>
                </c:pt>
                <c:pt idx="85">
                  <c:v>1.417</c:v>
                </c:pt>
                <c:pt idx="86">
                  <c:v>1.4330000000000001</c:v>
                </c:pt>
                <c:pt idx="87">
                  <c:v>1.45</c:v>
                </c:pt>
                <c:pt idx="88">
                  <c:v>1.4670000000000001</c:v>
                </c:pt>
                <c:pt idx="89">
                  <c:v>1.4830000000000001</c:v>
                </c:pt>
                <c:pt idx="90">
                  <c:v>1.5</c:v>
                </c:pt>
                <c:pt idx="91">
                  <c:v>1.5169999999999999</c:v>
                </c:pt>
                <c:pt idx="92">
                  <c:v>1.5329999999999999</c:v>
                </c:pt>
                <c:pt idx="93">
                  <c:v>1.55</c:v>
                </c:pt>
                <c:pt idx="94">
                  <c:v>1.5669999999999999</c:v>
                </c:pt>
                <c:pt idx="95">
                  <c:v>1.583</c:v>
                </c:pt>
                <c:pt idx="96">
                  <c:v>1.6</c:v>
                </c:pt>
                <c:pt idx="97">
                  <c:v>1.617</c:v>
                </c:pt>
                <c:pt idx="98">
                  <c:v>1.633</c:v>
                </c:pt>
                <c:pt idx="99">
                  <c:v>1.65</c:v>
                </c:pt>
                <c:pt idx="100">
                  <c:v>1.667</c:v>
                </c:pt>
                <c:pt idx="101">
                  <c:v>1.6830000000000001</c:v>
                </c:pt>
                <c:pt idx="102">
                  <c:v>1.7</c:v>
                </c:pt>
                <c:pt idx="103">
                  <c:v>1.7170000000000001</c:v>
                </c:pt>
                <c:pt idx="104">
                  <c:v>1.7330000000000001</c:v>
                </c:pt>
                <c:pt idx="105">
                  <c:v>1.75</c:v>
                </c:pt>
                <c:pt idx="106">
                  <c:v>1.7669999999999999</c:v>
                </c:pt>
                <c:pt idx="107">
                  <c:v>1.7829999999999999</c:v>
                </c:pt>
                <c:pt idx="108">
                  <c:v>1.8</c:v>
                </c:pt>
                <c:pt idx="109">
                  <c:v>1.8169999999999999</c:v>
                </c:pt>
                <c:pt idx="110">
                  <c:v>1.833</c:v>
                </c:pt>
                <c:pt idx="111">
                  <c:v>1.85</c:v>
                </c:pt>
                <c:pt idx="112">
                  <c:v>1.867</c:v>
                </c:pt>
                <c:pt idx="113">
                  <c:v>1.883</c:v>
                </c:pt>
                <c:pt idx="114">
                  <c:v>1.9</c:v>
                </c:pt>
                <c:pt idx="115">
                  <c:v>1.917</c:v>
                </c:pt>
                <c:pt idx="116">
                  <c:v>1.9330000000000001</c:v>
                </c:pt>
                <c:pt idx="117">
                  <c:v>1.95</c:v>
                </c:pt>
                <c:pt idx="118">
                  <c:v>1.9670000000000001</c:v>
                </c:pt>
                <c:pt idx="119">
                  <c:v>1.9830000000000001</c:v>
                </c:pt>
                <c:pt idx="120">
                  <c:v>2</c:v>
                </c:pt>
                <c:pt idx="121">
                  <c:v>2.0169999999999999</c:v>
                </c:pt>
                <c:pt idx="122">
                  <c:v>2.0329999999999999</c:v>
                </c:pt>
                <c:pt idx="123">
                  <c:v>2.0499999999999998</c:v>
                </c:pt>
                <c:pt idx="124">
                  <c:v>2.0670000000000002</c:v>
                </c:pt>
                <c:pt idx="125">
                  <c:v>2.0830000000000002</c:v>
                </c:pt>
                <c:pt idx="126">
                  <c:v>2.1</c:v>
                </c:pt>
                <c:pt idx="127">
                  <c:v>2.117</c:v>
                </c:pt>
                <c:pt idx="128">
                  <c:v>2.133</c:v>
                </c:pt>
                <c:pt idx="129">
                  <c:v>2.15</c:v>
                </c:pt>
                <c:pt idx="130">
                  <c:v>2.1669999999999998</c:v>
                </c:pt>
                <c:pt idx="131">
                  <c:v>2.1829999999999998</c:v>
                </c:pt>
                <c:pt idx="132">
                  <c:v>2.2000000000000002</c:v>
                </c:pt>
                <c:pt idx="133">
                  <c:v>2.2170000000000001</c:v>
                </c:pt>
                <c:pt idx="134">
                  <c:v>2.2330000000000001</c:v>
                </c:pt>
                <c:pt idx="135">
                  <c:v>2.25</c:v>
                </c:pt>
                <c:pt idx="136">
                  <c:v>2.2669999999999999</c:v>
                </c:pt>
                <c:pt idx="137">
                  <c:v>2.2829999999999999</c:v>
                </c:pt>
                <c:pt idx="138">
                  <c:v>2.2999999999999998</c:v>
                </c:pt>
                <c:pt idx="139">
                  <c:v>2.3170000000000002</c:v>
                </c:pt>
                <c:pt idx="140">
                  <c:v>2.3330000000000002</c:v>
                </c:pt>
                <c:pt idx="141">
                  <c:v>2.35</c:v>
                </c:pt>
                <c:pt idx="142">
                  <c:v>2.367</c:v>
                </c:pt>
                <c:pt idx="143">
                  <c:v>2.383</c:v>
                </c:pt>
                <c:pt idx="144">
                  <c:v>2.4</c:v>
                </c:pt>
                <c:pt idx="145">
                  <c:v>2.4169999999999998</c:v>
                </c:pt>
                <c:pt idx="146">
                  <c:v>2.4329999999999998</c:v>
                </c:pt>
                <c:pt idx="147">
                  <c:v>2.4500000000000002</c:v>
                </c:pt>
                <c:pt idx="148">
                  <c:v>2.4670000000000001</c:v>
                </c:pt>
                <c:pt idx="149">
                  <c:v>2.4830000000000001</c:v>
                </c:pt>
                <c:pt idx="150">
                  <c:v>2.5</c:v>
                </c:pt>
                <c:pt idx="151">
                  <c:v>2.5169999999999999</c:v>
                </c:pt>
                <c:pt idx="152">
                  <c:v>2.5329999999999999</c:v>
                </c:pt>
                <c:pt idx="153">
                  <c:v>2.5499999999999998</c:v>
                </c:pt>
                <c:pt idx="154">
                  <c:v>2.5670000000000002</c:v>
                </c:pt>
                <c:pt idx="155">
                  <c:v>2.5830000000000002</c:v>
                </c:pt>
                <c:pt idx="156">
                  <c:v>2.6</c:v>
                </c:pt>
                <c:pt idx="157">
                  <c:v>2.617</c:v>
                </c:pt>
                <c:pt idx="158">
                  <c:v>2.633</c:v>
                </c:pt>
                <c:pt idx="159">
                  <c:v>2.65</c:v>
                </c:pt>
                <c:pt idx="160">
                  <c:v>2.6669999999999998</c:v>
                </c:pt>
                <c:pt idx="161">
                  <c:v>2.6829999999999998</c:v>
                </c:pt>
                <c:pt idx="162">
                  <c:v>2.7</c:v>
                </c:pt>
                <c:pt idx="163">
                  <c:v>2.7170000000000001</c:v>
                </c:pt>
                <c:pt idx="164">
                  <c:v>2.7330000000000001</c:v>
                </c:pt>
                <c:pt idx="165">
                  <c:v>2.75</c:v>
                </c:pt>
                <c:pt idx="166">
                  <c:v>2.7669999999999999</c:v>
                </c:pt>
                <c:pt idx="167">
                  <c:v>2.7829999999999999</c:v>
                </c:pt>
                <c:pt idx="168">
                  <c:v>2.8</c:v>
                </c:pt>
                <c:pt idx="169">
                  <c:v>2.8170000000000002</c:v>
                </c:pt>
                <c:pt idx="170">
                  <c:v>2.8330000000000002</c:v>
                </c:pt>
                <c:pt idx="171">
                  <c:v>2.85</c:v>
                </c:pt>
                <c:pt idx="172">
                  <c:v>2.867</c:v>
                </c:pt>
                <c:pt idx="173">
                  <c:v>2.883</c:v>
                </c:pt>
                <c:pt idx="174">
                  <c:v>2.9</c:v>
                </c:pt>
                <c:pt idx="175">
                  <c:v>2.9169999999999998</c:v>
                </c:pt>
                <c:pt idx="176">
                  <c:v>2.9329999999999998</c:v>
                </c:pt>
                <c:pt idx="177">
                  <c:v>2.95</c:v>
                </c:pt>
                <c:pt idx="178">
                  <c:v>2.9670000000000001</c:v>
                </c:pt>
                <c:pt idx="179">
                  <c:v>2.9830000000000001</c:v>
                </c:pt>
                <c:pt idx="180">
                  <c:v>3</c:v>
                </c:pt>
                <c:pt idx="181">
                  <c:v>3.0169999999999999</c:v>
                </c:pt>
                <c:pt idx="182">
                  <c:v>3.0329999999999999</c:v>
                </c:pt>
                <c:pt idx="183">
                  <c:v>3.05</c:v>
                </c:pt>
                <c:pt idx="184">
                  <c:v>3.0670000000000002</c:v>
                </c:pt>
                <c:pt idx="185">
                  <c:v>3.0830000000000002</c:v>
                </c:pt>
                <c:pt idx="186">
                  <c:v>3.1</c:v>
                </c:pt>
                <c:pt idx="187">
                  <c:v>3.117</c:v>
                </c:pt>
                <c:pt idx="188">
                  <c:v>3.133</c:v>
                </c:pt>
                <c:pt idx="189">
                  <c:v>3.15</c:v>
                </c:pt>
                <c:pt idx="190">
                  <c:v>3.1669999999999998</c:v>
                </c:pt>
                <c:pt idx="191">
                  <c:v>3.1829999999999998</c:v>
                </c:pt>
                <c:pt idx="192">
                  <c:v>3.2</c:v>
                </c:pt>
                <c:pt idx="193">
                  <c:v>3.2170000000000001</c:v>
                </c:pt>
                <c:pt idx="194">
                  <c:v>3.2330000000000001</c:v>
                </c:pt>
                <c:pt idx="195">
                  <c:v>3.25</c:v>
                </c:pt>
                <c:pt idx="196">
                  <c:v>3.2669999999999999</c:v>
                </c:pt>
                <c:pt idx="197">
                  <c:v>3.2829999999999999</c:v>
                </c:pt>
                <c:pt idx="198">
                  <c:v>3.3</c:v>
                </c:pt>
                <c:pt idx="199">
                  <c:v>3.3170000000000002</c:v>
                </c:pt>
                <c:pt idx="200">
                  <c:v>3.3330000000000002</c:v>
                </c:pt>
                <c:pt idx="201">
                  <c:v>3.35</c:v>
                </c:pt>
                <c:pt idx="202">
                  <c:v>3.367</c:v>
                </c:pt>
                <c:pt idx="203">
                  <c:v>3.383</c:v>
                </c:pt>
                <c:pt idx="204">
                  <c:v>3.4</c:v>
                </c:pt>
                <c:pt idx="205">
                  <c:v>3.4169999999999998</c:v>
                </c:pt>
                <c:pt idx="206">
                  <c:v>3.4329999999999998</c:v>
                </c:pt>
                <c:pt idx="207">
                  <c:v>3.45</c:v>
                </c:pt>
                <c:pt idx="208">
                  <c:v>3.4670000000000001</c:v>
                </c:pt>
                <c:pt idx="209">
                  <c:v>3.4830000000000001</c:v>
                </c:pt>
                <c:pt idx="210">
                  <c:v>3.5</c:v>
                </c:pt>
                <c:pt idx="211">
                  <c:v>3.5169999999999999</c:v>
                </c:pt>
                <c:pt idx="212">
                  <c:v>3.5329999999999999</c:v>
                </c:pt>
                <c:pt idx="213">
                  <c:v>3.55</c:v>
                </c:pt>
                <c:pt idx="214">
                  <c:v>3.5670000000000002</c:v>
                </c:pt>
                <c:pt idx="215">
                  <c:v>3.5830000000000002</c:v>
                </c:pt>
                <c:pt idx="216">
                  <c:v>3.6</c:v>
                </c:pt>
                <c:pt idx="217">
                  <c:v>3.617</c:v>
                </c:pt>
                <c:pt idx="218">
                  <c:v>3.633</c:v>
                </c:pt>
                <c:pt idx="219">
                  <c:v>3.65</c:v>
                </c:pt>
                <c:pt idx="220">
                  <c:v>3.6669999999999998</c:v>
                </c:pt>
                <c:pt idx="221">
                  <c:v>3.6829999999999998</c:v>
                </c:pt>
                <c:pt idx="222">
                  <c:v>3.7</c:v>
                </c:pt>
                <c:pt idx="223">
                  <c:v>3.7170000000000001</c:v>
                </c:pt>
                <c:pt idx="224">
                  <c:v>3.7330000000000001</c:v>
                </c:pt>
                <c:pt idx="225">
                  <c:v>3.75</c:v>
                </c:pt>
                <c:pt idx="226">
                  <c:v>3.7669999999999999</c:v>
                </c:pt>
                <c:pt idx="227">
                  <c:v>3.7829999999999999</c:v>
                </c:pt>
                <c:pt idx="228">
                  <c:v>3.8</c:v>
                </c:pt>
                <c:pt idx="229">
                  <c:v>3.8170000000000002</c:v>
                </c:pt>
                <c:pt idx="230">
                  <c:v>3.8330000000000002</c:v>
                </c:pt>
                <c:pt idx="231">
                  <c:v>3.85</c:v>
                </c:pt>
                <c:pt idx="232">
                  <c:v>3.867</c:v>
                </c:pt>
                <c:pt idx="233">
                  <c:v>3.883</c:v>
                </c:pt>
                <c:pt idx="234">
                  <c:v>3.9</c:v>
                </c:pt>
                <c:pt idx="235">
                  <c:v>3.9169999999999998</c:v>
                </c:pt>
                <c:pt idx="236">
                  <c:v>3.9329999999999998</c:v>
                </c:pt>
                <c:pt idx="237">
                  <c:v>3.95</c:v>
                </c:pt>
                <c:pt idx="238">
                  <c:v>3.9670000000000001</c:v>
                </c:pt>
                <c:pt idx="239">
                  <c:v>3.9830000000000001</c:v>
                </c:pt>
                <c:pt idx="240">
                  <c:v>4</c:v>
                </c:pt>
                <c:pt idx="241">
                  <c:v>4.0170000000000003</c:v>
                </c:pt>
                <c:pt idx="242">
                  <c:v>4.0330000000000004</c:v>
                </c:pt>
                <c:pt idx="243">
                  <c:v>4.05</c:v>
                </c:pt>
                <c:pt idx="244">
                  <c:v>4.0670000000000002</c:v>
                </c:pt>
                <c:pt idx="245">
                  <c:v>4.0830000000000002</c:v>
                </c:pt>
                <c:pt idx="246">
                  <c:v>4.0999999999999996</c:v>
                </c:pt>
                <c:pt idx="247">
                  <c:v>4.117</c:v>
                </c:pt>
                <c:pt idx="248">
                  <c:v>4.133</c:v>
                </c:pt>
                <c:pt idx="249">
                  <c:v>4.1500000000000004</c:v>
                </c:pt>
                <c:pt idx="250">
                  <c:v>4.1669999999999998</c:v>
                </c:pt>
                <c:pt idx="251">
                  <c:v>4.1829999999999998</c:v>
                </c:pt>
                <c:pt idx="252">
                  <c:v>4.2</c:v>
                </c:pt>
                <c:pt idx="253">
                  <c:v>4.2169999999999996</c:v>
                </c:pt>
              </c:numCache>
            </c:numRef>
          </c:xVal>
          <c:yVal>
            <c:numRef>
              <c:f>'for graph'!$B$2:$B$255</c:f>
              <c:numCache>
                <c:formatCode>0.0000</c:formatCode>
                <c:ptCount val="254"/>
                <c:pt idx="0">
                  <c:v>6.0718798800000001E-2</c:v>
                </c:pt>
                <c:pt idx="1">
                  <c:v>6.0718798800000001E-2</c:v>
                </c:pt>
                <c:pt idx="2">
                  <c:v>6.0718798800000001E-2</c:v>
                </c:pt>
                <c:pt idx="3">
                  <c:v>5.9696596800000001E-2</c:v>
                </c:pt>
                <c:pt idx="4">
                  <c:v>5.8469954400000003E-2</c:v>
                </c:pt>
                <c:pt idx="5">
                  <c:v>5.744775240000001E-2</c:v>
                </c:pt>
                <c:pt idx="6">
                  <c:v>5.642555040000001E-2</c:v>
                </c:pt>
                <c:pt idx="7">
                  <c:v>5.4381146400000011E-2</c:v>
                </c:pt>
                <c:pt idx="8">
                  <c:v>5.2745623200000008E-2</c:v>
                </c:pt>
                <c:pt idx="9">
                  <c:v>5.0292338400000004E-2</c:v>
                </c:pt>
                <c:pt idx="10">
                  <c:v>4.8043493999999999E-2</c:v>
                </c:pt>
                <c:pt idx="11">
                  <c:v>4.5590209200000002E-2</c:v>
                </c:pt>
                <c:pt idx="12">
                  <c:v>4.2932484E-2</c:v>
                </c:pt>
                <c:pt idx="13">
                  <c:v>3.9252556800000005E-2</c:v>
                </c:pt>
                <c:pt idx="14">
                  <c:v>3.7208152800000005E-2</c:v>
                </c:pt>
                <c:pt idx="15">
                  <c:v>3.3937106400000007E-2</c:v>
                </c:pt>
                <c:pt idx="16">
                  <c:v>3.0870500400000004E-2</c:v>
                </c:pt>
                <c:pt idx="17">
                  <c:v>2.7803894400000004E-2</c:v>
                </c:pt>
                <c:pt idx="18">
                  <c:v>2.4532848000000003E-2</c:v>
                </c:pt>
                <c:pt idx="19">
                  <c:v>2.0852920800000001E-2</c:v>
                </c:pt>
                <c:pt idx="20">
                  <c:v>1.8299460204000004E-2</c:v>
                </c:pt>
                <c:pt idx="21">
                  <c:v>1.5686711892000004E-2</c:v>
                </c:pt>
                <c:pt idx="22">
                  <c:v>1.3071919176000001E-2</c:v>
                </c:pt>
                <c:pt idx="23">
                  <c:v>1.0457126460000001E-2</c:v>
                </c:pt>
                <c:pt idx="24">
                  <c:v>8.3657011680000008E-3</c:v>
                </c:pt>
                <c:pt idx="25">
                  <c:v>6.2742758760000001E-3</c:v>
                </c:pt>
                <c:pt idx="26">
                  <c:v>4.7062180080000007E-3</c:v>
                </c:pt>
                <c:pt idx="27">
                  <c:v>2.6147927160000001E-3</c:v>
                </c:pt>
                <c:pt idx="28">
                  <c:v>5.2295854320000008E-4</c:v>
                </c:pt>
                <c:pt idx="29">
                  <c:v>-1.5686711892000003E-3</c:v>
                </c:pt>
                <c:pt idx="30">
                  <c:v>-1.5686711892000003E-3</c:v>
                </c:pt>
                <c:pt idx="31">
                  <c:v>-1.0457126460000001E-3</c:v>
                </c:pt>
                <c:pt idx="32">
                  <c:v>0</c:v>
                </c:pt>
                <c:pt idx="33">
                  <c:v>5.2295854320000008E-4</c:v>
                </c:pt>
                <c:pt idx="34">
                  <c:v>1.0457126460000001E-3</c:v>
                </c:pt>
                <c:pt idx="35">
                  <c:v>2.0914252920000002E-3</c:v>
                </c:pt>
                <c:pt idx="36">
                  <c:v>3.1381601400000004E-3</c:v>
                </c:pt>
                <c:pt idx="37">
                  <c:v>6.2742758760000001E-3</c:v>
                </c:pt>
                <c:pt idx="38">
                  <c:v>7.3210107240000008E-3</c:v>
                </c:pt>
                <c:pt idx="39">
                  <c:v>9.4124360160000014E-3</c:v>
                </c:pt>
                <c:pt idx="40">
                  <c:v>1.2548551752E-2</c:v>
                </c:pt>
                <c:pt idx="41">
                  <c:v>1.5686711892000004E-2</c:v>
                </c:pt>
                <c:pt idx="42">
                  <c:v>1.8299460204000004E-2</c:v>
                </c:pt>
                <c:pt idx="43">
                  <c:v>2.0852920800000001E-2</c:v>
                </c:pt>
                <c:pt idx="44">
                  <c:v>2.4123967200000002E-2</c:v>
                </c:pt>
                <c:pt idx="45">
                  <c:v>2.7190573200000005E-2</c:v>
                </c:pt>
                <c:pt idx="46">
                  <c:v>3.0257179200000001E-2</c:v>
                </c:pt>
                <c:pt idx="47">
                  <c:v>3.2914904400000007E-2</c:v>
                </c:pt>
                <c:pt idx="48">
                  <c:v>3.6594831600000002E-2</c:v>
                </c:pt>
                <c:pt idx="49">
                  <c:v>3.9252556800000005E-2</c:v>
                </c:pt>
                <c:pt idx="50">
                  <c:v>4.2932484E-2</c:v>
                </c:pt>
                <c:pt idx="51">
                  <c:v>4.5999090000000006E-2</c:v>
                </c:pt>
                <c:pt idx="52">
                  <c:v>4.7021292000000006E-2</c:v>
                </c:pt>
                <c:pt idx="53">
                  <c:v>4.9065696000000006E-2</c:v>
                </c:pt>
                <c:pt idx="54">
                  <c:v>5.2745623200000008E-2</c:v>
                </c:pt>
                <c:pt idx="55">
                  <c:v>5.4381146400000011E-2</c:v>
                </c:pt>
                <c:pt idx="56">
                  <c:v>5.4381146400000011E-2</c:v>
                </c:pt>
                <c:pt idx="57">
                  <c:v>5.642555040000001E-2</c:v>
                </c:pt>
                <c:pt idx="58">
                  <c:v>5.7038871600000013E-2</c:v>
                </c:pt>
                <c:pt idx="59">
                  <c:v>5.8061073599999999E-2</c:v>
                </c:pt>
                <c:pt idx="60">
                  <c:v>5.8061073599999999E-2</c:v>
                </c:pt>
                <c:pt idx="61">
                  <c:v>5.744775240000001E-2</c:v>
                </c:pt>
                <c:pt idx="62">
                  <c:v>5.8061073599999999E-2</c:v>
                </c:pt>
                <c:pt idx="63">
                  <c:v>5.744775240000001E-2</c:v>
                </c:pt>
                <c:pt idx="64">
                  <c:v>5.642555040000001E-2</c:v>
                </c:pt>
                <c:pt idx="65">
                  <c:v>5.642555040000001E-2</c:v>
                </c:pt>
                <c:pt idx="66">
                  <c:v>5.4381146400000011E-2</c:v>
                </c:pt>
                <c:pt idx="67">
                  <c:v>5.2745623200000008E-2</c:v>
                </c:pt>
                <c:pt idx="68">
                  <c:v>5.1314540400000004E-2</c:v>
                </c:pt>
                <c:pt idx="69">
                  <c:v>4.8656815200000002E-2</c:v>
                </c:pt>
                <c:pt idx="70">
                  <c:v>4.5999090000000006E-2</c:v>
                </c:pt>
                <c:pt idx="71">
                  <c:v>4.3341364800000004E-2</c:v>
                </c:pt>
                <c:pt idx="72">
                  <c:v>4.1296960800000004E-2</c:v>
                </c:pt>
                <c:pt idx="73">
                  <c:v>3.8230354800000005E-2</c:v>
                </c:pt>
                <c:pt idx="74">
                  <c:v>3.4959308400000007E-2</c:v>
                </c:pt>
                <c:pt idx="75">
                  <c:v>3.18927024E-2</c:v>
                </c:pt>
                <c:pt idx="76">
                  <c:v>2.8212775200000005E-2</c:v>
                </c:pt>
                <c:pt idx="77">
                  <c:v>2.5555050000000003E-2</c:v>
                </c:pt>
                <c:pt idx="78">
                  <c:v>2.3101765200000002E-2</c:v>
                </c:pt>
                <c:pt idx="79">
                  <c:v>1.9346195052000002E-2</c:v>
                </c:pt>
                <c:pt idx="80">
                  <c:v>1.6731402336000002E-2</c:v>
                </c:pt>
                <c:pt idx="81">
                  <c:v>1.4639977044E-2</c:v>
                </c:pt>
                <c:pt idx="82">
                  <c:v>9.9337590360000019E-3</c:v>
                </c:pt>
                <c:pt idx="83">
                  <c:v>7.8423337440000004E-3</c:v>
                </c:pt>
                <c:pt idx="84">
                  <c:v>5.7509084520000007E-3</c:v>
                </c:pt>
                <c:pt idx="85">
                  <c:v>3.6594831600000001E-3</c:v>
                </c:pt>
                <c:pt idx="86">
                  <c:v>1.0457126460000001E-3</c:v>
                </c:pt>
                <c:pt idx="87">
                  <c:v>1.0457126460000001E-3</c:v>
                </c:pt>
                <c:pt idx="88">
                  <c:v>-5.2295854320000008E-4</c:v>
                </c:pt>
                <c:pt idx="89">
                  <c:v>-1.5686711892000003E-3</c:v>
                </c:pt>
                <c:pt idx="90">
                  <c:v>-2.6147927160000001E-3</c:v>
                </c:pt>
                <c:pt idx="91">
                  <c:v>-2.6147927160000001E-3</c:v>
                </c:pt>
                <c:pt idx="92">
                  <c:v>-2.0914252920000002E-3</c:v>
                </c:pt>
                <c:pt idx="93">
                  <c:v>-3.1381601400000004E-3</c:v>
                </c:pt>
                <c:pt idx="94">
                  <c:v>-1.0457126460000001E-3</c:v>
                </c:pt>
                <c:pt idx="95">
                  <c:v>-5.2295854320000008E-4</c:v>
                </c:pt>
                <c:pt idx="96">
                  <c:v>1.0457126460000001E-3</c:v>
                </c:pt>
                <c:pt idx="97">
                  <c:v>2.6147927160000001E-3</c:v>
                </c:pt>
                <c:pt idx="98">
                  <c:v>4.1828505840000004E-3</c:v>
                </c:pt>
                <c:pt idx="99">
                  <c:v>7.3210107240000008E-3</c:v>
                </c:pt>
                <c:pt idx="100">
                  <c:v>8.8890685920000011E-3</c:v>
                </c:pt>
                <c:pt idx="101">
                  <c:v>1.1503861308000001E-2</c:v>
                </c:pt>
                <c:pt idx="102">
                  <c:v>1.4639977044E-2</c:v>
                </c:pt>
                <c:pt idx="103">
                  <c:v>1.8299460204000004E-2</c:v>
                </c:pt>
                <c:pt idx="104">
                  <c:v>2.1466242E-2</c:v>
                </c:pt>
                <c:pt idx="105">
                  <c:v>2.4123967200000002E-2</c:v>
                </c:pt>
                <c:pt idx="106">
                  <c:v>2.7190573200000005E-2</c:v>
                </c:pt>
                <c:pt idx="107">
                  <c:v>3.0870500400000004E-2</c:v>
                </c:pt>
                <c:pt idx="108">
                  <c:v>3.2914904400000007E-2</c:v>
                </c:pt>
                <c:pt idx="109">
                  <c:v>3.4550427600000003E-2</c:v>
                </c:pt>
                <c:pt idx="110">
                  <c:v>3.8639235600000002E-2</c:v>
                </c:pt>
                <c:pt idx="111">
                  <c:v>4.1910282E-2</c:v>
                </c:pt>
                <c:pt idx="112">
                  <c:v>4.3341364800000004E-2</c:v>
                </c:pt>
                <c:pt idx="113">
                  <c:v>4.5590209200000002E-2</c:v>
                </c:pt>
                <c:pt idx="114">
                  <c:v>4.8656815200000002E-2</c:v>
                </c:pt>
                <c:pt idx="115">
                  <c:v>5.0292338400000004E-2</c:v>
                </c:pt>
                <c:pt idx="116">
                  <c:v>5.1723421200000008E-2</c:v>
                </c:pt>
                <c:pt idx="117">
                  <c:v>5.2745623200000008E-2</c:v>
                </c:pt>
                <c:pt idx="118">
                  <c:v>5.3358944400000011E-2</c:v>
                </c:pt>
                <c:pt idx="119">
                  <c:v>5.4381146400000011E-2</c:v>
                </c:pt>
                <c:pt idx="120">
                  <c:v>5.4994467600000006E-2</c:v>
                </c:pt>
                <c:pt idx="121">
                  <c:v>5.540334840000001E-2</c:v>
                </c:pt>
                <c:pt idx="122">
                  <c:v>5.6016669600000013E-2</c:v>
                </c:pt>
                <c:pt idx="123">
                  <c:v>5.4381146400000011E-2</c:v>
                </c:pt>
                <c:pt idx="124">
                  <c:v>5.3767825200000008E-2</c:v>
                </c:pt>
                <c:pt idx="125">
                  <c:v>5.3358944400000011E-2</c:v>
                </c:pt>
                <c:pt idx="126">
                  <c:v>5.2336742400000004E-2</c:v>
                </c:pt>
                <c:pt idx="127">
                  <c:v>5.0292338400000004E-2</c:v>
                </c:pt>
                <c:pt idx="128">
                  <c:v>4.8656815200000002E-2</c:v>
                </c:pt>
                <c:pt idx="129">
                  <c:v>4.6612411200000009E-2</c:v>
                </c:pt>
                <c:pt idx="130">
                  <c:v>4.3954686000000007E-2</c:v>
                </c:pt>
                <c:pt idx="131">
                  <c:v>4.2319162800000004E-2</c:v>
                </c:pt>
                <c:pt idx="132">
                  <c:v>4.0274758800000005E-2</c:v>
                </c:pt>
                <c:pt idx="133">
                  <c:v>3.59815104E-2</c:v>
                </c:pt>
                <c:pt idx="134">
                  <c:v>3.3528225600000003E-2</c:v>
                </c:pt>
                <c:pt idx="135">
                  <c:v>3.0870500400000004E-2</c:v>
                </c:pt>
                <c:pt idx="136">
                  <c:v>2.7803894400000004E-2</c:v>
                </c:pt>
                <c:pt idx="137">
                  <c:v>2.6168371200000002E-2</c:v>
                </c:pt>
                <c:pt idx="138">
                  <c:v>2.1875122800000001E-2</c:v>
                </c:pt>
                <c:pt idx="139">
                  <c:v>1.8822827628000003E-2</c:v>
                </c:pt>
                <c:pt idx="140">
                  <c:v>1.6208034912000003E-2</c:v>
                </c:pt>
                <c:pt idx="141">
                  <c:v>1.3071919176000001E-2</c:v>
                </c:pt>
                <c:pt idx="142">
                  <c:v>9.9337590360000019E-3</c:v>
                </c:pt>
                <c:pt idx="143">
                  <c:v>8.3657011680000008E-3</c:v>
                </c:pt>
                <c:pt idx="144">
                  <c:v>5.7509084520000007E-3</c:v>
                </c:pt>
                <c:pt idx="145">
                  <c:v>3.6594831600000001E-3</c:v>
                </c:pt>
                <c:pt idx="146">
                  <c:v>2.0914252920000002E-3</c:v>
                </c:pt>
                <c:pt idx="147">
                  <c:v>1.0457126460000001E-3</c:v>
                </c:pt>
                <c:pt idx="148">
                  <c:v>-1.0457126460000001E-3</c:v>
                </c:pt>
                <c:pt idx="149">
                  <c:v>-2.0914252920000002E-3</c:v>
                </c:pt>
                <c:pt idx="150">
                  <c:v>-2.0914252920000002E-3</c:v>
                </c:pt>
                <c:pt idx="151">
                  <c:v>-3.1381601400000004E-3</c:v>
                </c:pt>
                <c:pt idx="152">
                  <c:v>-3.1381601400000004E-3</c:v>
                </c:pt>
                <c:pt idx="153">
                  <c:v>-2.0914252920000002E-3</c:v>
                </c:pt>
                <c:pt idx="154">
                  <c:v>-1.5686711892000003E-3</c:v>
                </c:pt>
                <c:pt idx="155">
                  <c:v>-5.2295854320000008E-4</c:v>
                </c:pt>
                <c:pt idx="156">
                  <c:v>5.2295854320000008E-4</c:v>
                </c:pt>
                <c:pt idx="157">
                  <c:v>2.0914252920000002E-3</c:v>
                </c:pt>
                <c:pt idx="158">
                  <c:v>4.1828505840000004E-3</c:v>
                </c:pt>
                <c:pt idx="159">
                  <c:v>7.3210107240000008E-3</c:v>
                </c:pt>
                <c:pt idx="160">
                  <c:v>9.4124360160000014E-3</c:v>
                </c:pt>
                <c:pt idx="161">
                  <c:v>1.2025184328E-2</c:v>
                </c:pt>
                <c:pt idx="162">
                  <c:v>1.5686711892000004E-2</c:v>
                </c:pt>
                <c:pt idx="163">
                  <c:v>1.9346195052000002E-2</c:v>
                </c:pt>
                <c:pt idx="164">
                  <c:v>2.0852920800000001E-2</c:v>
                </c:pt>
                <c:pt idx="165">
                  <c:v>2.3510646000000003E-2</c:v>
                </c:pt>
                <c:pt idx="166">
                  <c:v>2.6577252000000003E-2</c:v>
                </c:pt>
                <c:pt idx="167">
                  <c:v>2.8826096400000001E-2</c:v>
                </c:pt>
                <c:pt idx="168">
                  <c:v>3.2506023600000003E-2</c:v>
                </c:pt>
                <c:pt idx="169">
                  <c:v>3.4959308400000007E-2</c:v>
                </c:pt>
                <c:pt idx="170">
                  <c:v>3.7617033600000002E-2</c:v>
                </c:pt>
                <c:pt idx="171">
                  <c:v>4.1296960800000004E-2</c:v>
                </c:pt>
                <c:pt idx="172">
                  <c:v>4.2932484E-2</c:v>
                </c:pt>
                <c:pt idx="173">
                  <c:v>4.4976888000000007E-2</c:v>
                </c:pt>
                <c:pt idx="174">
                  <c:v>4.7634613200000009E-2</c:v>
                </c:pt>
                <c:pt idx="175">
                  <c:v>5.0292338400000004E-2</c:v>
                </c:pt>
                <c:pt idx="176">
                  <c:v>5.1314540400000004E-2</c:v>
                </c:pt>
                <c:pt idx="177">
                  <c:v>5.2336742400000004E-2</c:v>
                </c:pt>
                <c:pt idx="178">
                  <c:v>5.4381146400000011E-2</c:v>
                </c:pt>
                <c:pt idx="179">
                  <c:v>5.540334840000001E-2</c:v>
                </c:pt>
                <c:pt idx="180">
                  <c:v>5.6016669600000013E-2</c:v>
                </c:pt>
                <c:pt idx="181">
                  <c:v>5.642555040000001E-2</c:v>
                </c:pt>
                <c:pt idx="182">
                  <c:v>5.540334840000001E-2</c:v>
                </c:pt>
                <c:pt idx="183">
                  <c:v>5.6016669600000013E-2</c:v>
                </c:pt>
                <c:pt idx="184">
                  <c:v>5.540334840000001E-2</c:v>
                </c:pt>
                <c:pt idx="185">
                  <c:v>5.4381146400000011E-2</c:v>
                </c:pt>
                <c:pt idx="186">
                  <c:v>5.4381146400000011E-2</c:v>
                </c:pt>
                <c:pt idx="187">
                  <c:v>5.2336742400000004E-2</c:v>
                </c:pt>
                <c:pt idx="188">
                  <c:v>5.1314540400000004E-2</c:v>
                </c:pt>
                <c:pt idx="189">
                  <c:v>4.8656815200000002E-2</c:v>
                </c:pt>
                <c:pt idx="190">
                  <c:v>4.7634613200000009E-2</c:v>
                </c:pt>
                <c:pt idx="191">
                  <c:v>4.3341364800000004E-2</c:v>
                </c:pt>
                <c:pt idx="192">
                  <c:v>4.1296960800000004E-2</c:v>
                </c:pt>
                <c:pt idx="193">
                  <c:v>3.8639235600000002E-2</c:v>
                </c:pt>
                <c:pt idx="194">
                  <c:v>3.5572629600000003E-2</c:v>
                </c:pt>
                <c:pt idx="195">
                  <c:v>3.18927024E-2</c:v>
                </c:pt>
                <c:pt idx="196">
                  <c:v>3.0257179200000001E-2</c:v>
                </c:pt>
                <c:pt idx="197">
                  <c:v>2.7190573200000005E-2</c:v>
                </c:pt>
                <c:pt idx="198">
                  <c:v>2.4532848000000003E-2</c:v>
                </c:pt>
                <c:pt idx="199">
                  <c:v>2.0852920800000001E-2</c:v>
                </c:pt>
                <c:pt idx="200">
                  <c:v>1.8299460204000004E-2</c:v>
                </c:pt>
                <c:pt idx="201">
                  <c:v>1.5686711892000004E-2</c:v>
                </c:pt>
                <c:pt idx="202">
                  <c:v>1.3071919176000001E-2</c:v>
                </c:pt>
                <c:pt idx="203">
                  <c:v>1.0457126460000001E-2</c:v>
                </c:pt>
                <c:pt idx="204">
                  <c:v>8.8890685920000011E-3</c:v>
                </c:pt>
                <c:pt idx="205">
                  <c:v>6.7976433000000013E-3</c:v>
                </c:pt>
                <c:pt idx="206">
                  <c:v>4.7062180080000007E-3</c:v>
                </c:pt>
                <c:pt idx="207">
                  <c:v>4.1828505840000004E-3</c:v>
                </c:pt>
                <c:pt idx="208">
                  <c:v>2.0914252920000002E-3</c:v>
                </c:pt>
                <c:pt idx="209">
                  <c:v>1.5686711892000003E-3</c:v>
                </c:pt>
                <c:pt idx="210">
                  <c:v>0</c:v>
                </c:pt>
                <c:pt idx="211">
                  <c:v>5.2295854320000008E-4</c:v>
                </c:pt>
                <c:pt idx="212">
                  <c:v>0</c:v>
                </c:pt>
                <c:pt idx="213">
                  <c:v>5.2295854320000008E-4</c:v>
                </c:pt>
                <c:pt idx="214">
                  <c:v>1.5686711892000003E-3</c:v>
                </c:pt>
                <c:pt idx="215">
                  <c:v>3.1381601400000004E-3</c:v>
                </c:pt>
                <c:pt idx="216">
                  <c:v>4.1828505840000004E-3</c:v>
                </c:pt>
                <c:pt idx="217">
                  <c:v>5.7509084520000007E-3</c:v>
                </c:pt>
                <c:pt idx="218">
                  <c:v>7.3210107240000008E-3</c:v>
                </c:pt>
                <c:pt idx="219">
                  <c:v>9.4124360160000014E-3</c:v>
                </c:pt>
                <c:pt idx="220">
                  <c:v>1.1503861308000001E-2</c:v>
                </c:pt>
                <c:pt idx="221">
                  <c:v>1.4116609620000001E-2</c:v>
                </c:pt>
                <c:pt idx="222">
                  <c:v>1.6208034912000003E-2</c:v>
                </c:pt>
                <c:pt idx="223">
                  <c:v>1.9869562476E-2</c:v>
                </c:pt>
                <c:pt idx="224">
                  <c:v>2.3101765200000002E-2</c:v>
                </c:pt>
                <c:pt idx="225">
                  <c:v>2.4532848000000003E-2</c:v>
                </c:pt>
                <c:pt idx="226">
                  <c:v>2.7190573200000005E-2</c:v>
                </c:pt>
                <c:pt idx="227">
                  <c:v>3.0257179200000001E-2</c:v>
                </c:pt>
                <c:pt idx="228">
                  <c:v>3.2506023600000003E-2</c:v>
                </c:pt>
                <c:pt idx="229">
                  <c:v>3.5572629600000003E-2</c:v>
                </c:pt>
                <c:pt idx="230">
                  <c:v>3.6594831600000002E-2</c:v>
                </c:pt>
                <c:pt idx="231">
                  <c:v>4.0683639600000009E-2</c:v>
                </c:pt>
                <c:pt idx="232">
                  <c:v>4.3341364800000004E-2</c:v>
                </c:pt>
                <c:pt idx="233">
                  <c:v>4.4976888000000007E-2</c:v>
                </c:pt>
                <c:pt idx="234">
                  <c:v>4.7634613200000009E-2</c:v>
                </c:pt>
                <c:pt idx="235">
                  <c:v>4.9065696000000006E-2</c:v>
                </c:pt>
                <c:pt idx="236">
                  <c:v>5.0701219200000008E-2</c:v>
                </c:pt>
                <c:pt idx="237">
                  <c:v>5.2745623200000008E-2</c:v>
                </c:pt>
                <c:pt idx="238">
                  <c:v>5.2745623200000008E-2</c:v>
                </c:pt>
                <c:pt idx="239">
                  <c:v>5.4381146400000011E-2</c:v>
                </c:pt>
                <c:pt idx="240">
                  <c:v>5.4994467600000006E-2</c:v>
                </c:pt>
                <c:pt idx="241">
                  <c:v>5.4381146400000011E-2</c:v>
                </c:pt>
                <c:pt idx="242">
                  <c:v>5.4994467600000006E-2</c:v>
                </c:pt>
                <c:pt idx="243">
                  <c:v>5.540334840000001E-2</c:v>
                </c:pt>
                <c:pt idx="244">
                  <c:v>5.3767825200000008E-2</c:v>
                </c:pt>
                <c:pt idx="245">
                  <c:v>5.3358944400000011E-2</c:v>
                </c:pt>
                <c:pt idx="246">
                  <c:v>5.3358944400000011E-2</c:v>
                </c:pt>
                <c:pt idx="247">
                  <c:v>5.1314540400000004E-2</c:v>
                </c:pt>
                <c:pt idx="248">
                  <c:v>5.0292338400000004E-2</c:v>
                </c:pt>
                <c:pt idx="249">
                  <c:v>4.7634613200000009E-2</c:v>
                </c:pt>
                <c:pt idx="250">
                  <c:v>4.5999090000000006E-2</c:v>
                </c:pt>
                <c:pt idx="251">
                  <c:v>4.3954686000000007E-2</c:v>
                </c:pt>
                <c:pt idx="252">
                  <c:v>4.1296960800000004E-2</c:v>
                </c:pt>
                <c:pt idx="253">
                  <c:v>3.8639235600000002E-2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0-441A-AFCB-2E0ED5A0F946}"/>
            </c:ext>
          </c:extLst>
        </c:ser>
        <c:ser>
          <c:idx val="1"/>
          <c:order val="1"/>
          <c:tx>
            <c:strRef>
              <c:f>'for graph'!$C$1</c:f>
              <c:strCache>
                <c:ptCount val="1"/>
                <c:pt idx="0">
                  <c:v>K (J)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'for graph'!$A$2:$A$255</c:f>
              <c:numCache>
                <c:formatCode>0.000</c:formatCode>
                <c:ptCount val="25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0.51700000000000002</c:v>
                </c:pt>
                <c:pt idx="32">
                  <c:v>0.53300000000000003</c:v>
                </c:pt>
                <c:pt idx="33">
                  <c:v>0.55000000000000004</c:v>
                </c:pt>
                <c:pt idx="34">
                  <c:v>0.56699999999999995</c:v>
                </c:pt>
                <c:pt idx="35">
                  <c:v>0.58299999999999996</c:v>
                </c:pt>
                <c:pt idx="36">
                  <c:v>0.6</c:v>
                </c:pt>
                <c:pt idx="37">
                  <c:v>0.61699999999999999</c:v>
                </c:pt>
                <c:pt idx="38">
                  <c:v>0.63300000000000001</c:v>
                </c:pt>
                <c:pt idx="39">
                  <c:v>0.65</c:v>
                </c:pt>
                <c:pt idx="40">
                  <c:v>0.66700000000000004</c:v>
                </c:pt>
                <c:pt idx="41">
                  <c:v>0.68300000000000005</c:v>
                </c:pt>
                <c:pt idx="42">
                  <c:v>0.7</c:v>
                </c:pt>
                <c:pt idx="43">
                  <c:v>0.71699999999999997</c:v>
                </c:pt>
                <c:pt idx="44">
                  <c:v>0.73299999999999998</c:v>
                </c:pt>
                <c:pt idx="45">
                  <c:v>0.75</c:v>
                </c:pt>
                <c:pt idx="46">
                  <c:v>0.76700000000000002</c:v>
                </c:pt>
                <c:pt idx="47">
                  <c:v>0.78300000000000003</c:v>
                </c:pt>
                <c:pt idx="48">
                  <c:v>0.8</c:v>
                </c:pt>
                <c:pt idx="49">
                  <c:v>0.81699999999999995</c:v>
                </c:pt>
                <c:pt idx="50">
                  <c:v>0.83299999999999996</c:v>
                </c:pt>
                <c:pt idx="51">
                  <c:v>0.85</c:v>
                </c:pt>
                <c:pt idx="52">
                  <c:v>0.86699999999999999</c:v>
                </c:pt>
                <c:pt idx="53">
                  <c:v>0.88300000000000001</c:v>
                </c:pt>
                <c:pt idx="54">
                  <c:v>0.9</c:v>
                </c:pt>
                <c:pt idx="55">
                  <c:v>0.91700000000000004</c:v>
                </c:pt>
                <c:pt idx="56">
                  <c:v>0.93300000000000005</c:v>
                </c:pt>
                <c:pt idx="57">
                  <c:v>0.95</c:v>
                </c:pt>
                <c:pt idx="58">
                  <c:v>0.96699999999999997</c:v>
                </c:pt>
                <c:pt idx="59">
                  <c:v>0.98299999999999998</c:v>
                </c:pt>
                <c:pt idx="60">
                  <c:v>1</c:v>
                </c:pt>
                <c:pt idx="61">
                  <c:v>1.0169999999999999</c:v>
                </c:pt>
                <c:pt idx="62">
                  <c:v>1.0329999999999999</c:v>
                </c:pt>
                <c:pt idx="63">
                  <c:v>1.05</c:v>
                </c:pt>
                <c:pt idx="64">
                  <c:v>1.0669999999999999</c:v>
                </c:pt>
                <c:pt idx="65">
                  <c:v>1.083</c:v>
                </c:pt>
                <c:pt idx="66">
                  <c:v>1.1000000000000001</c:v>
                </c:pt>
                <c:pt idx="67">
                  <c:v>1.117</c:v>
                </c:pt>
                <c:pt idx="68">
                  <c:v>1.133</c:v>
                </c:pt>
                <c:pt idx="69">
                  <c:v>1.1499999999999999</c:v>
                </c:pt>
                <c:pt idx="70">
                  <c:v>1.167</c:v>
                </c:pt>
                <c:pt idx="71">
                  <c:v>1.1830000000000001</c:v>
                </c:pt>
                <c:pt idx="72">
                  <c:v>1.2</c:v>
                </c:pt>
                <c:pt idx="73">
                  <c:v>1.2170000000000001</c:v>
                </c:pt>
                <c:pt idx="74">
                  <c:v>1.2330000000000001</c:v>
                </c:pt>
                <c:pt idx="75">
                  <c:v>1.25</c:v>
                </c:pt>
                <c:pt idx="76">
                  <c:v>1.2669999999999999</c:v>
                </c:pt>
                <c:pt idx="77">
                  <c:v>1.2829999999999999</c:v>
                </c:pt>
                <c:pt idx="78">
                  <c:v>1.3</c:v>
                </c:pt>
                <c:pt idx="79">
                  <c:v>1.3169999999999999</c:v>
                </c:pt>
                <c:pt idx="80">
                  <c:v>1.333</c:v>
                </c:pt>
                <c:pt idx="81">
                  <c:v>1.35</c:v>
                </c:pt>
                <c:pt idx="82">
                  <c:v>1.367</c:v>
                </c:pt>
                <c:pt idx="83">
                  <c:v>1.383</c:v>
                </c:pt>
                <c:pt idx="84">
                  <c:v>1.4</c:v>
                </c:pt>
                <c:pt idx="85">
                  <c:v>1.417</c:v>
                </c:pt>
                <c:pt idx="86">
                  <c:v>1.4330000000000001</c:v>
                </c:pt>
                <c:pt idx="87">
                  <c:v>1.45</c:v>
                </c:pt>
                <c:pt idx="88">
                  <c:v>1.4670000000000001</c:v>
                </c:pt>
                <c:pt idx="89">
                  <c:v>1.4830000000000001</c:v>
                </c:pt>
                <c:pt idx="90">
                  <c:v>1.5</c:v>
                </c:pt>
                <c:pt idx="91">
                  <c:v>1.5169999999999999</c:v>
                </c:pt>
                <c:pt idx="92">
                  <c:v>1.5329999999999999</c:v>
                </c:pt>
                <c:pt idx="93">
                  <c:v>1.55</c:v>
                </c:pt>
                <c:pt idx="94">
                  <c:v>1.5669999999999999</c:v>
                </c:pt>
                <c:pt idx="95">
                  <c:v>1.583</c:v>
                </c:pt>
                <c:pt idx="96">
                  <c:v>1.6</c:v>
                </c:pt>
                <c:pt idx="97">
                  <c:v>1.617</c:v>
                </c:pt>
                <c:pt idx="98">
                  <c:v>1.633</c:v>
                </c:pt>
                <c:pt idx="99">
                  <c:v>1.65</c:v>
                </c:pt>
                <c:pt idx="100">
                  <c:v>1.667</c:v>
                </c:pt>
                <c:pt idx="101">
                  <c:v>1.6830000000000001</c:v>
                </c:pt>
                <c:pt idx="102">
                  <c:v>1.7</c:v>
                </c:pt>
                <c:pt idx="103">
                  <c:v>1.7170000000000001</c:v>
                </c:pt>
                <c:pt idx="104">
                  <c:v>1.7330000000000001</c:v>
                </c:pt>
                <c:pt idx="105">
                  <c:v>1.75</c:v>
                </c:pt>
                <c:pt idx="106">
                  <c:v>1.7669999999999999</c:v>
                </c:pt>
                <c:pt idx="107">
                  <c:v>1.7829999999999999</c:v>
                </c:pt>
                <c:pt idx="108">
                  <c:v>1.8</c:v>
                </c:pt>
                <c:pt idx="109">
                  <c:v>1.8169999999999999</c:v>
                </c:pt>
                <c:pt idx="110">
                  <c:v>1.833</c:v>
                </c:pt>
                <c:pt idx="111">
                  <c:v>1.85</c:v>
                </c:pt>
                <c:pt idx="112">
                  <c:v>1.867</c:v>
                </c:pt>
                <c:pt idx="113">
                  <c:v>1.883</c:v>
                </c:pt>
                <c:pt idx="114">
                  <c:v>1.9</c:v>
                </c:pt>
                <c:pt idx="115">
                  <c:v>1.917</c:v>
                </c:pt>
                <c:pt idx="116">
                  <c:v>1.9330000000000001</c:v>
                </c:pt>
                <c:pt idx="117">
                  <c:v>1.95</c:v>
                </c:pt>
                <c:pt idx="118">
                  <c:v>1.9670000000000001</c:v>
                </c:pt>
                <c:pt idx="119">
                  <c:v>1.9830000000000001</c:v>
                </c:pt>
                <c:pt idx="120">
                  <c:v>2</c:v>
                </c:pt>
                <c:pt idx="121">
                  <c:v>2.0169999999999999</c:v>
                </c:pt>
                <c:pt idx="122">
                  <c:v>2.0329999999999999</c:v>
                </c:pt>
                <c:pt idx="123">
                  <c:v>2.0499999999999998</c:v>
                </c:pt>
                <c:pt idx="124">
                  <c:v>2.0670000000000002</c:v>
                </c:pt>
                <c:pt idx="125">
                  <c:v>2.0830000000000002</c:v>
                </c:pt>
                <c:pt idx="126">
                  <c:v>2.1</c:v>
                </c:pt>
                <c:pt idx="127">
                  <c:v>2.117</c:v>
                </c:pt>
                <c:pt idx="128">
                  <c:v>2.133</c:v>
                </c:pt>
                <c:pt idx="129">
                  <c:v>2.15</c:v>
                </c:pt>
                <c:pt idx="130">
                  <c:v>2.1669999999999998</c:v>
                </c:pt>
                <c:pt idx="131">
                  <c:v>2.1829999999999998</c:v>
                </c:pt>
                <c:pt idx="132">
                  <c:v>2.2000000000000002</c:v>
                </c:pt>
                <c:pt idx="133">
                  <c:v>2.2170000000000001</c:v>
                </c:pt>
                <c:pt idx="134">
                  <c:v>2.2330000000000001</c:v>
                </c:pt>
                <c:pt idx="135">
                  <c:v>2.25</c:v>
                </c:pt>
                <c:pt idx="136">
                  <c:v>2.2669999999999999</c:v>
                </c:pt>
                <c:pt idx="137">
                  <c:v>2.2829999999999999</c:v>
                </c:pt>
                <c:pt idx="138">
                  <c:v>2.2999999999999998</c:v>
                </c:pt>
                <c:pt idx="139">
                  <c:v>2.3170000000000002</c:v>
                </c:pt>
                <c:pt idx="140">
                  <c:v>2.3330000000000002</c:v>
                </c:pt>
                <c:pt idx="141">
                  <c:v>2.35</c:v>
                </c:pt>
                <c:pt idx="142">
                  <c:v>2.367</c:v>
                </c:pt>
                <c:pt idx="143">
                  <c:v>2.383</c:v>
                </c:pt>
                <c:pt idx="144">
                  <c:v>2.4</c:v>
                </c:pt>
                <c:pt idx="145">
                  <c:v>2.4169999999999998</c:v>
                </c:pt>
                <c:pt idx="146">
                  <c:v>2.4329999999999998</c:v>
                </c:pt>
                <c:pt idx="147">
                  <c:v>2.4500000000000002</c:v>
                </c:pt>
                <c:pt idx="148">
                  <c:v>2.4670000000000001</c:v>
                </c:pt>
                <c:pt idx="149">
                  <c:v>2.4830000000000001</c:v>
                </c:pt>
                <c:pt idx="150">
                  <c:v>2.5</c:v>
                </c:pt>
                <c:pt idx="151">
                  <c:v>2.5169999999999999</c:v>
                </c:pt>
                <c:pt idx="152">
                  <c:v>2.5329999999999999</c:v>
                </c:pt>
                <c:pt idx="153">
                  <c:v>2.5499999999999998</c:v>
                </c:pt>
                <c:pt idx="154">
                  <c:v>2.5670000000000002</c:v>
                </c:pt>
                <c:pt idx="155">
                  <c:v>2.5830000000000002</c:v>
                </c:pt>
                <c:pt idx="156">
                  <c:v>2.6</c:v>
                </c:pt>
                <c:pt idx="157">
                  <c:v>2.617</c:v>
                </c:pt>
                <c:pt idx="158">
                  <c:v>2.633</c:v>
                </c:pt>
                <c:pt idx="159">
                  <c:v>2.65</c:v>
                </c:pt>
                <c:pt idx="160">
                  <c:v>2.6669999999999998</c:v>
                </c:pt>
                <c:pt idx="161">
                  <c:v>2.6829999999999998</c:v>
                </c:pt>
                <c:pt idx="162">
                  <c:v>2.7</c:v>
                </c:pt>
                <c:pt idx="163">
                  <c:v>2.7170000000000001</c:v>
                </c:pt>
                <c:pt idx="164">
                  <c:v>2.7330000000000001</c:v>
                </c:pt>
                <c:pt idx="165">
                  <c:v>2.75</c:v>
                </c:pt>
                <c:pt idx="166">
                  <c:v>2.7669999999999999</c:v>
                </c:pt>
                <c:pt idx="167">
                  <c:v>2.7829999999999999</c:v>
                </c:pt>
                <c:pt idx="168">
                  <c:v>2.8</c:v>
                </c:pt>
                <c:pt idx="169">
                  <c:v>2.8170000000000002</c:v>
                </c:pt>
                <c:pt idx="170">
                  <c:v>2.8330000000000002</c:v>
                </c:pt>
                <c:pt idx="171">
                  <c:v>2.85</c:v>
                </c:pt>
                <c:pt idx="172">
                  <c:v>2.867</c:v>
                </c:pt>
                <c:pt idx="173">
                  <c:v>2.883</c:v>
                </c:pt>
                <c:pt idx="174">
                  <c:v>2.9</c:v>
                </c:pt>
                <c:pt idx="175">
                  <c:v>2.9169999999999998</c:v>
                </c:pt>
                <c:pt idx="176">
                  <c:v>2.9329999999999998</c:v>
                </c:pt>
                <c:pt idx="177">
                  <c:v>2.95</c:v>
                </c:pt>
                <c:pt idx="178">
                  <c:v>2.9670000000000001</c:v>
                </c:pt>
                <c:pt idx="179">
                  <c:v>2.9830000000000001</c:v>
                </c:pt>
                <c:pt idx="180">
                  <c:v>3</c:v>
                </c:pt>
                <c:pt idx="181">
                  <c:v>3.0169999999999999</c:v>
                </c:pt>
                <c:pt idx="182">
                  <c:v>3.0329999999999999</c:v>
                </c:pt>
                <c:pt idx="183">
                  <c:v>3.05</c:v>
                </c:pt>
                <c:pt idx="184">
                  <c:v>3.0670000000000002</c:v>
                </c:pt>
                <c:pt idx="185">
                  <c:v>3.0830000000000002</c:v>
                </c:pt>
                <c:pt idx="186">
                  <c:v>3.1</c:v>
                </c:pt>
                <c:pt idx="187">
                  <c:v>3.117</c:v>
                </c:pt>
                <c:pt idx="188">
                  <c:v>3.133</c:v>
                </c:pt>
                <c:pt idx="189">
                  <c:v>3.15</c:v>
                </c:pt>
                <c:pt idx="190">
                  <c:v>3.1669999999999998</c:v>
                </c:pt>
                <c:pt idx="191">
                  <c:v>3.1829999999999998</c:v>
                </c:pt>
                <c:pt idx="192">
                  <c:v>3.2</c:v>
                </c:pt>
                <c:pt idx="193">
                  <c:v>3.2170000000000001</c:v>
                </c:pt>
                <c:pt idx="194">
                  <c:v>3.2330000000000001</c:v>
                </c:pt>
                <c:pt idx="195">
                  <c:v>3.25</c:v>
                </c:pt>
                <c:pt idx="196">
                  <c:v>3.2669999999999999</c:v>
                </c:pt>
                <c:pt idx="197">
                  <c:v>3.2829999999999999</c:v>
                </c:pt>
                <c:pt idx="198">
                  <c:v>3.3</c:v>
                </c:pt>
                <c:pt idx="199">
                  <c:v>3.3170000000000002</c:v>
                </c:pt>
                <c:pt idx="200">
                  <c:v>3.3330000000000002</c:v>
                </c:pt>
                <c:pt idx="201">
                  <c:v>3.35</c:v>
                </c:pt>
                <c:pt idx="202">
                  <c:v>3.367</c:v>
                </c:pt>
                <c:pt idx="203">
                  <c:v>3.383</c:v>
                </c:pt>
                <c:pt idx="204">
                  <c:v>3.4</c:v>
                </c:pt>
                <c:pt idx="205">
                  <c:v>3.4169999999999998</c:v>
                </c:pt>
                <c:pt idx="206">
                  <c:v>3.4329999999999998</c:v>
                </c:pt>
                <c:pt idx="207">
                  <c:v>3.45</c:v>
                </c:pt>
                <c:pt idx="208">
                  <c:v>3.4670000000000001</c:v>
                </c:pt>
                <c:pt idx="209">
                  <c:v>3.4830000000000001</c:v>
                </c:pt>
                <c:pt idx="210">
                  <c:v>3.5</c:v>
                </c:pt>
                <c:pt idx="211">
                  <c:v>3.5169999999999999</c:v>
                </c:pt>
                <c:pt idx="212">
                  <c:v>3.5329999999999999</c:v>
                </c:pt>
                <c:pt idx="213">
                  <c:v>3.55</c:v>
                </c:pt>
                <c:pt idx="214">
                  <c:v>3.5670000000000002</c:v>
                </c:pt>
                <c:pt idx="215">
                  <c:v>3.5830000000000002</c:v>
                </c:pt>
                <c:pt idx="216">
                  <c:v>3.6</c:v>
                </c:pt>
                <c:pt idx="217">
                  <c:v>3.617</c:v>
                </c:pt>
                <c:pt idx="218">
                  <c:v>3.633</c:v>
                </c:pt>
                <c:pt idx="219">
                  <c:v>3.65</c:v>
                </c:pt>
                <c:pt idx="220">
                  <c:v>3.6669999999999998</c:v>
                </c:pt>
                <c:pt idx="221">
                  <c:v>3.6829999999999998</c:v>
                </c:pt>
                <c:pt idx="222">
                  <c:v>3.7</c:v>
                </c:pt>
                <c:pt idx="223">
                  <c:v>3.7170000000000001</c:v>
                </c:pt>
                <c:pt idx="224">
                  <c:v>3.7330000000000001</c:v>
                </c:pt>
                <c:pt idx="225">
                  <c:v>3.75</c:v>
                </c:pt>
                <c:pt idx="226">
                  <c:v>3.7669999999999999</c:v>
                </c:pt>
                <c:pt idx="227">
                  <c:v>3.7829999999999999</c:v>
                </c:pt>
                <c:pt idx="228">
                  <c:v>3.8</c:v>
                </c:pt>
                <c:pt idx="229">
                  <c:v>3.8170000000000002</c:v>
                </c:pt>
                <c:pt idx="230">
                  <c:v>3.8330000000000002</c:v>
                </c:pt>
                <c:pt idx="231">
                  <c:v>3.85</c:v>
                </c:pt>
                <c:pt idx="232">
                  <c:v>3.867</c:v>
                </c:pt>
                <c:pt idx="233">
                  <c:v>3.883</c:v>
                </c:pt>
                <c:pt idx="234">
                  <c:v>3.9</c:v>
                </c:pt>
                <c:pt idx="235">
                  <c:v>3.9169999999999998</c:v>
                </c:pt>
                <c:pt idx="236">
                  <c:v>3.9329999999999998</c:v>
                </c:pt>
                <c:pt idx="237">
                  <c:v>3.95</c:v>
                </c:pt>
                <c:pt idx="238">
                  <c:v>3.9670000000000001</c:v>
                </c:pt>
                <c:pt idx="239">
                  <c:v>3.9830000000000001</c:v>
                </c:pt>
                <c:pt idx="240">
                  <c:v>4</c:v>
                </c:pt>
                <c:pt idx="241">
                  <c:v>4.0170000000000003</c:v>
                </c:pt>
                <c:pt idx="242">
                  <c:v>4.0330000000000004</c:v>
                </c:pt>
                <c:pt idx="243">
                  <c:v>4.05</c:v>
                </c:pt>
                <c:pt idx="244">
                  <c:v>4.0670000000000002</c:v>
                </c:pt>
                <c:pt idx="245">
                  <c:v>4.0830000000000002</c:v>
                </c:pt>
                <c:pt idx="246">
                  <c:v>4.0999999999999996</c:v>
                </c:pt>
                <c:pt idx="247">
                  <c:v>4.117</c:v>
                </c:pt>
                <c:pt idx="248">
                  <c:v>4.133</c:v>
                </c:pt>
                <c:pt idx="249">
                  <c:v>4.1500000000000004</c:v>
                </c:pt>
                <c:pt idx="250">
                  <c:v>4.1669999999999998</c:v>
                </c:pt>
                <c:pt idx="251">
                  <c:v>4.1829999999999998</c:v>
                </c:pt>
                <c:pt idx="252">
                  <c:v>4.2</c:v>
                </c:pt>
                <c:pt idx="253">
                  <c:v>4.2169999999999996</c:v>
                </c:pt>
              </c:numCache>
            </c:numRef>
          </c:xVal>
          <c:yVal>
            <c:numRef>
              <c:f>'for graph'!$C$2:$C$255</c:f>
              <c:numCache>
                <c:formatCode>0.0000</c:formatCode>
                <c:ptCount val="254"/>
                <c:pt idx="0">
                  <c:v>0</c:v>
                </c:pt>
                <c:pt idx="1">
                  <c:v>2.4392178E-4</c:v>
                </c:pt>
                <c:pt idx="2">
                  <c:v>4.8784355999999994E-4</c:v>
                </c:pt>
                <c:pt idx="3">
                  <c:v>2.5185660999999999E-3</c:v>
                </c:pt>
                <c:pt idx="4">
                  <c:v>2.5185660999999999E-3</c:v>
                </c:pt>
                <c:pt idx="5">
                  <c:v>2.5185660999999999E-3</c:v>
                </c:pt>
                <c:pt idx="6">
                  <c:v>7.1802240199999997E-3</c:v>
                </c:pt>
                <c:pt idx="7">
                  <c:v>9.1347763600000027E-3</c:v>
                </c:pt>
                <c:pt idx="8">
                  <c:v>8.9036503399999977E-3</c:v>
                </c:pt>
                <c:pt idx="9">
                  <c:v>1.3814023240000001E-2</c:v>
                </c:pt>
                <c:pt idx="10">
                  <c:v>1.6994571940000001E-2</c:v>
                </c:pt>
                <c:pt idx="11">
                  <c:v>1.8149191300000006E-2</c:v>
                </c:pt>
                <c:pt idx="12">
                  <c:v>2.4551864500000003E-2</c:v>
                </c:pt>
                <c:pt idx="13">
                  <c:v>2.7295158740000002E-2</c:v>
                </c:pt>
                <c:pt idx="14">
                  <c:v>2.8280432259999998E-2</c:v>
                </c:pt>
                <c:pt idx="15">
                  <c:v>3.5881916040000003E-2</c:v>
                </c:pt>
                <c:pt idx="16">
                  <c:v>3.5881916040000003E-2</c:v>
                </c:pt>
                <c:pt idx="17">
                  <c:v>4.1299315719999993E-2</c:v>
                </c:pt>
                <c:pt idx="18">
                  <c:v>5.1829434280000017E-2</c:v>
                </c:pt>
                <c:pt idx="19">
                  <c:v>4.7170975300000001E-2</c:v>
                </c:pt>
                <c:pt idx="20">
                  <c:v>5.4206851060000012E-2</c:v>
                </c:pt>
                <c:pt idx="21">
                  <c:v>6.1347677060000022E-2</c:v>
                </c:pt>
                <c:pt idx="22">
                  <c:v>5.7715483880000015E-2</c:v>
                </c:pt>
                <c:pt idx="23">
                  <c:v>6.0193057700000011E-2</c:v>
                </c:pt>
                <c:pt idx="24">
                  <c:v>6.6729898820000008E-2</c:v>
                </c:pt>
                <c:pt idx="25">
                  <c:v>6.580640548000001E-2</c:v>
                </c:pt>
                <c:pt idx="26">
                  <c:v>6.9807675060000005E-2</c:v>
                </c:pt>
                <c:pt idx="27">
                  <c:v>7.4855998339999993E-2</c:v>
                </c:pt>
                <c:pt idx="28">
                  <c:v>7.4855998339999993E-2</c:v>
                </c:pt>
                <c:pt idx="29">
                  <c:v>7.190977459999999E-2</c:v>
                </c:pt>
                <c:pt idx="30">
                  <c:v>7.5181472176018005E-2</c:v>
                </c:pt>
                <c:pt idx="31">
                  <c:v>7.5671342500000016E-2</c:v>
                </c:pt>
                <c:pt idx="32">
                  <c:v>7.1478918020000018E-2</c:v>
                </c:pt>
                <c:pt idx="33">
                  <c:v>7.1171621800000001E-2</c:v>
                </c:pt>
                <c:pt idx="34">
                  <c:v>6.7354088080000013E-2</c:v>
                </c:pt>
                <c:pt idx="35">
                  <c:v>6.7784944659999999E-2</c:v>
                </c:pt>
                <c:pt idx="36">
                  <c:v>6.6729898820000008E-2</c:v>
                </c:pt>
                <c:pt idx="37">
                  <c:v>7.0731168400000002E-2</c:v>
                </c:pt>
                <c:pt idx="38">
                  <c:v>6.1178331219999986E-2</c:v>
                </c:pt>
                <c:pt idx="39">
                  <c:v>5.7715483880000015E-2</c:v>
                </c:pt>
                <c:pt idx="40">
                  <c:v>6.0424183719999996E-2</c:v>
                </c:pt>
                <c:pt idx="41">
                  <c:v>5.5499420799999998E-2</c:v>
                </c:pt>
                <c:pt idx="42">
                  <c:v>5.0864948660000006E-2</c:v>
                </c:pt>
                <c:pt idx="43">
                  <c:v>4.889440162E-2</c:v>
                </c:pt>
                <c:pt idx="44">
                  <c:v>4.7170975300000001E-2</c:v>
                </c:pt>
                <c:pt idx="45">
                  <c:v>3.85288357E-2</c:v>
                </c:pt>
                <c:pt idx="46">
                  <c:v>3.7112705600000004E-2</c:v>
                </c:pt>
                <c:pt idx="47">
                  <c:v>3.3390535720000003E-2</c:v>
                </c:pt>
                <c:pt idx="48">
                  <c:v>2.655700594E-2</c:v>
                </c:pt>
                <c:pt idx="49">
                  <c:v>2.8711288840000002E-2</c:v>
                </c:pt>
                <c:pt idx="50">
                  <c:v>3.0230191400000002E-2</c:v>
                </c:pt>
                <c:pt idx="51">
                  <c:v>1.594751824E-2</c:v>
                </c:pt>
                <c:pt idx="52">
                  <c:v>8.33484338E-3</c:v>
                </c:pt>
                <c:pt idx="53">
                  <c:v>1.484508224E-2</c:v>
                </c:pt>
                <c:pt idx="54">
                  <c:v>1.2259942760000002E-2</c:v>
                </c:pt>
                <c:pt idx="55">
                  <c:v>4.4795163199999998E-3</c:v>
                </c:pt>
                <c:pt idx="56">
                  <c:v>3.98687956E-3</c:v>
                </c:pt>
                <c:pt idx="57">
                  <c:v>3.7413635199999998E-3</c:v>
                </c:pt>
                <c:pt idx="58">
                  <c:v>1.5332925799999998E-3</c:v>
                </c:pt>
                <c:pt idx="59">
                  <c:v>3.0526945601799999E-4</c:v>
                </c:pt>
                <c:pt idx="60">
                  <c:v>3.0526945601799999E-4</c:v>
                </c:pt>
                <c:pt idx="61">
                  <c:v>6.1347676018000009E-5</c:v>
                </c:pt>
                <c:pt idx="62">
                  <c:v>5.5121800000000002E-4</c:v>
                </c:pt>
                <c:pt idx="63">
                  <c:v>7.9513978000000018E-4</c:v>
                </c:pt>
                <c:pt idx="64">
                  <c:v>7.9513978000000018E-4</c:v>
                </c:pt>
                <c:pt idx="65">
                  <c:v>1.9641491600000003E-3</c:v>
                </c:pt>
                <c:pt idx="66">
                  <c:v>4.5412965000000008E-3</c:v>
                </c:pt>
                <c:pt idx="67">
                  <c:v>7.1802240199999997E-3</c:v>
                </c:pt>
                <c:pt idx="68">
                  <c:v>1.0058269700000001E-2</c:v>
                </c:pt>
                <c:pt idx="69">
                  <c:v>1.6487545160000002E-2</c:v>
                </c:pt>
                <c:pt idx="70">
                  <c:v>1.4968642600000002E-2</c:v>
                </c:pt>
                <c:pt idx="71">
                  <c:v>1.5332925800000001E-2</c:v>
                </c:pt>
                <c:pt idx="72">
                  <c:v>2.3848306100000004E-2</c:v>
                </c:pt>
                <c:pt idx="73">
                  <c:v>2.655700594E-2</c:v>
                </c:pt>
                <c:pt idx="74">
                  <c:v>2.8711288840000002E-2</c:v>
                </c:pt>
                <c:pt idx="75">
                  <c:v>3.2508034659999997E-2</c:v>
                </c:pt>
                <c:pt idx="76">
                  <c:v>4.1299315719999993E-2</c:v>
                </c:pt>
                <c:pt idx="77">
                  <c:v>4.1446279400000001E-2</c:v>
                </c:pt>
                <c:pt idx="78">
                  <c:v>4.1299315719999993E-2</c:v>
                </c:pt>
                <c:pt idx="79">
                  <c:v>5.3573648499999994E-2</c:v>
                </c:pt>
                <c:pt idx="80">
                  <c:v>5.3052231700000008E-2</c:v>
                </c:pt>
                <c:pt idx="81">
                  <c:v>5.1829434280000017E-2</c:v>
                </c:pt>
                <c:pt idx="82">
                  <c:v>6.9331032999999986E-2</c:v>
                </c:pt>
                <c:pt idx="83">
                  <c:v>6.6729898820000008E-2</c:v>
                </c:pt>
                <c:pt idx="84">
                  <c:v>5.200517800000002E-2</c:v>
                </c:pt>
                <c:pt idx="85">
                  <c:v>6.7776952520000003E-2</c:v>
                </c:pt>
                <c:pt idx="86">
                  <c:v>6.8339361600000009E-2</c:v>
                </c:pt>
                <c:pt idx="87">
                  <c:v>8.0041688480000026E-2</c:v>
                </c:pt>
                <c:pt idx="88">
                  <c:v>8.5520868339999973E-2</c:v>
                </c:pt>
                <c:pt idx="89">
                  <c:v>6.7784944659999999E-2</c:v>
                </c:pt>
                <c:pt idx="90">
                  <c:v>7.1171621800000001E-2</c:v>
                </c:pt>
                <c:pt idx="91">
                  <c:v>7.0989047696018007E-2</c:v>
                </c:pt>
                <c:pt idx="92">
                  <c:v>7.5181472176018005E-2</c:v>
                </c:pt>
                <c:pt idx="93">
                  <c:v>7.9734392260000009E-2</c:v>
                </c:pt>
                <c:pt idx="94">
                  <c:v>6.8339361600000009E-2</c:v>
                </c:pt>
                <c:pt idx="95">
                  <c:v>7.190977459999999E-2</c:v>
                </c:pt>
                <c:pt idx="96">
                  <c:v>7.3132572019999995E-2</c:v>
                </c:pt>
                <c:pt idx="97">
                  <c:v>6.1178331219999986E-2</c:v>
                </c:pt>
                <c:pt idx="98">
                  <c:v>6.394881124E-2</c:v>
                </c:pt>
                <c:pt idx="99">
                  <c:v>5.6560864520000011E-2</c:v>
                </c:pt>
                <c:pt idx="100">
                  <c:v>5.9146004000000009E-2</c:v>
                </c:pt>
                <c:pt idx="101">
                  <c:v>5.5499420799999998E-2</c:v>
                </c:pt>
                <c:pt idx="102">
                  <c:v>4.8689877860000008E-2</c:v>
                </c:pt>
                <c:pt idx="103">
                  <c:v>5.5092551060000015E-2</c:v>
                </c:pt>
                <c:pt idx="104">
                  <c:v>4.5754845200000005E-2</c:v>
                </c:pt>
                <c:pt idx="105">
                  <c:v>3.7112705600000004E-2</c:v>
                </c:pt>
                <c:pt idx="106">
                  <c:v>3.7400818600000003E-2</c:v>
                </c:pt>
                <c:pt idx="107">
                  <c:v>2.7295158740000002E-2</c:v>
                </c:pt>
                <c:pt idx="108">
                  <c:v>1.871799826E-2</c:v>
                </c:pt>
                <c:pt idx="109">
                  <c:v>2.5140875840000004E-2</c:v>
                </c:pt>
                <c:pt idx="110">
                  <c:v>2.5823646340000003E-2</c:v>
                </c:pt>
                <c:pt idx="111">
                  <c:v>1.3814023240000001E-2</c:v>
                </c:pt>
                <c:pt idx="112">
                  <c:v>1.0427346100000002E-2</c:v>
                </c:pt>
                <c:pt idx="113">
                  <c:v>1.3552512500000002E-2</c:v>
                </c:pt>
                <c:pt idx="114">
                  <c:v>9.9507040399999993E-3</c:v>
                </c:pt>
                <c:pt idx="115">
                  <c:v>4.4097440000000002E-3</c:v>
                </c:pt>
                <c:pt idx="116">
                  <c:v>3.7413635199999998E-3</c:v>
                </c:pt>
                <c:pt idx="117">
                  <c:v>3.5560229800000007E-3</c:v>
                </c:pt>
                <c:pt idx="118">
                  <c:v>2.0877095200000006E-3</c:v>
                </c:pt>
                <c:pt idx="119">
                  <c:v>6.1256567601800007E-4</c:v>
                </c:pt>
                <c:pt idx="120">
                  <c:v>3.0526945601799999E-4</c:v>
                </c:pt>
                <c:pt idx="121">
                  <c:v>3.0526945601799999E-4</c:v>
                </c:pt>
                <c:pt idx="122">
                  <c:v>3.0526945601799999E-4</c:v>
                </c:pt>
                <c:pt idx="123">
                  <c:v>1.9641491600000003E-3</c:v>
                </c:pt>
                <c:pt idx="124">
                  <c:v>3.2487267600000008E-3</c:v>
                </c:pt>
                <c:pt idx="125">
                  <c:v>3.5560229800000007E-3</c:v>
                </c:pt>
                <c:pt idx="126">
                  <c:v>5.2096769800000003E-3</c:v>
                </c:pt>
                <c:pt idx="127">
                  <c:v>5.2096769800000003E-3</c:v>
                </c:pt>
                <c:pt idx="128">
                  <c:v>6.9331033E-3</c:v>
                </c:pt>
                <c:pt idx="129">
                  <c:v>1.3814023240000001E-2</c:v>
                </c:pt>
                <c:pt idx="130">
                  <c:v>1.2766969539999997E-2</c:v>
                </c:pt>
                <c:pt idx="131">
                  <c:v>9.1347763600000027E-3</c:v>
                </c:pt>
                <c:pt idx="132">
                  <c:v>1.9196244999999997E-2</c:v>
                </c:pt>
                <c:pt idx="133">
                  <c:v>3.4909438280000003E-2</c:v>
                </c:pt>
                <c:pt idx="134">
                  <c:v>2.6002588999999996E-2</c:v>
                </c:pt>
                <c:pt idx="135">
                  <c:v>2.5140875840000004E-2</c:v>
                </c:pt>
                <c:pt idx="136">
                  <c:v>3.4665516499999993E-2</c:v>
                </c:pt>
                <c:pt idx="137">
                  <c:v>3.7112705600000004E-2</c:v>
                </c:pt>
                <c:pt idx="138">
                  <c:v>3.9062464739999997E-2</c:v>
                </c:pt>
                <c:pt idx="139">
                  <c:v>4.2738849140000014E-2</c:v>
                </c:pt>
                <c:pt idx="140">
                  <c:v>5.2157518399999998E-2</c:v>
                </c:pt>
                <c:pt idx="141">
                  <c:v>5.6915550900000007E-2</c:v>
                </c:pt>
                <c:pt idx="142">
                  <c:v>4.9710329300000015E-2</c:v>
                </c:pt>
                <c:pt idx="143">
                  <c:v>5.5513810820000009E-2</c:v>
                </c:pt>
                <c:pt idx="144">
                  <c:v>6.0193057700000011E-2</c:v>
                </c:pt>
                <c:pt idx="145">
                  <c:v>6.1978264200000001E-2</c:v>
                </c:pt>
                <c:pt idx="146">
                  <c:v>6.4338092020000001E-2</c:v>
                </c:pt>
                <c:pt idx="147">
                  <c:v>6.5006472499999995E-2</c:v>
                </c:pt>
                <c:pt idx="148">
                  <c:v>7.3132572019999995E-2</c:v>
                </c:pt>
                <c:pt idx="149">
                  <c:v>6.7046791859999996E-2</c:v>
                </c:pt>
                <c:pt idx="150">
                  <c:v>6.7046791859999996E-2</c:v>
                </c:pt>
                <c:pt idx="151">
                  <c:v>7.1171621800000001E-2</c:v>
                </c:pt>
                <c:pt idx="152">
                  <c:v>6.7046791859999996E-2</c:v>
                </c:pt>
                <c:pt idx="153">
                  <c:v>7.1478918020000018E-2</c:v>
                </c:pt>
                <c:pt idx="154">
                  <c:v>7.5671342500000016E-2</c:v>
                </c:pt>
                <c:pt idx="155">
                  <c:v>6.7784944659999999E-2</c:v>
                </c:pt>
                <c:pt idx="156">
                  <c:v>5.6754197200000016E-2</c:v>
                </c:pt>
                <c:pt idx="157">
                  <c:v>6.1978264200000001E-2</c:v>
                </c:pt>
                <c:pt idx="158">
                  <c:v>6.8931571879999987E-2</c:v>
                </c:pt>
                <c:pt idx="159">
                  <c:v>7.2932841460000009E-2</c:v>
                </c:pt>
                <c:pt idx="160">
                  <c:v>5.6560864520000011E-2</c:v>
                </c:pt>
                <c:pt idx="161">
                  <c:v>4.1299315719999993E-2</c:v>
                </c:pt>
                <c:pt idx="162">
                  <c:v>5.349108042000001E-2</c:v>
                </c:pt>
                <c:pt idx="163">
                  <c:v>5.0864948660000006E-2</c:v>
                </c:pt>
                <c:pt idx="164">
                  <c:v>3.9244606339999995E-2</c:v>
                </c:pt>
                <c:pt idx="165">
                  <c:v>3.7112705600000004E-2</c:v>
                </c:pt>
                <c:pt idx="166">
                  <c:v>3.5820135859999998E-2</c:v>
                </c:pt>
                <c:pt idx="167">
                  <c:v>3.7112705600000004E-2</c:v>
                </c:pt>
                <c:pt idx="168">
                  <c:v>3.09891321E-2</c:v>
                </c:pt>
                <c:pt idx="169">
                  <c:v>2.6002588999999996E-2</c:v>
                </c:pt>
                <c:pt idx="170">
                  <c:v>2.655700594E-2</c:v>
                </c:pt>
                <c:pt idx="171">
                  <c:v>1.9934397800000003E-2</c:v>
                </c:pt>
                <c:pt idx="172">
                  <c:v>1.6809231399999999E-2</c:v>
                </c:pt>
                <c:pt idx="173">
                  <c:v>1.3814023240000001E-2</c:v>
                </c:pt>
                <c:pt idx="174">
                  <c:v>1.1105323400000004E-2</c:v>
                </c:pt>
                <c:pt idx="175">
                  <c:v>6.9331033E-3</c:v>
                </c:pt>
                <c:pt idx="176">
                  <c:v>3.98687956E-3</c:v>
                </c:pt>
                <c:pt idx="177">
                  <c:v>4.4097440000000002E-3</c:v>
                </c:pt>
                <c:pt idx="178">
                  <c:v>4.4097440000000002E-3</c:v>
                </c:pt>
                <c:pt idx="179">
                  <c:v>1.5332925799999998E-3</c:v>
                </c:pt>
                <c:pt idx="180">
                  <c:v>3.0526945601799999E-4</c:v>
                </c:pt>
                <c:pt idx="181">
                  <c:v>1.2269535203600002E-4</c:v>
                </c:pt>
                <c:pt idx="182">
                  <c:v>6.1347676018000009E-5</c:v>
                </c:pt>
                <c:pt idx="183">
                  <c:v>0</c:v>
                </c:pt>
                <c:pt idx="184">
                  <c:v>1.102436E-3</c:v>
                </c:pt>
                <c:pt idx="185">
                  <c:v>2.4487937800000002E-3</c:v>
                </c:pt>
                <c:pt idx="186">
                  <c:v>3.98687956E-3</c:v>
                </c:pt>
                <c:pt idx="187">
                  <c:v>4.4097440000000002E-3</c:v>
                </c:pt>
                <c:pt idx="188">
                  <c:v>7.9801569999999999E-3</c:v>
                </c:pt>
                <c:pt idx="189">
                  <c:v>1.0427346100000002E-2</c:v>
                </c:pt>
                <c:pt idx="190">
                  <c:v>1.2259942760000002E-2</c:v>
                </c:pt>
                <c:pt idx="191">
                  <c:v>1.9196244999999997E-2</c:v>
                </c:pt>
                <c:pt idx="192">
                  <c:v>2.269368674E-2</c:v>
                </c:pt>
                <c:pt idx="193">
                  <c:v>2.5140875840000004E-2</c:v>
                </c:pt>
                <c:pt idx="194">
                  <c:v>3.0230191400000002E-2</c:v>
                </c:pt>
                <c:pt idx="195">
                  <c:v>3.0681835880000004E-2</c:v>
                </c:pt>
                <c:pt idx="196">
                  <c:v>2.7125812900000001E-2</c:v>
                </c:pt>
                <c:pt idx="197">
                  <c:v>3.4465785940000007E-2</c:v>
                </c:pt>
                <c:pt idx="198">
                  <c:v>4.4154979239999996E-2</c:v>
                </c:pt>
                <c:pt idx="199">
                  <c:v>4.7170975300000001E-2</c:v>
                </c:pt>
                <c:pt idx="200">
                  <c:v>4.7601831880000021E-2</c:v>
                </c:pt>
                <c:pt idx="201">
                  <c:v>5.7715483880000015E-2</c:v>
                </c:pt>
                <c:pt idx="202">
                  <c:v>6.5103430600000012E-2</c:v>
                </c:pt>
                <c:pt idx="203">
                  <c:v>5.5513810820000009E-2</c:v>
                </c:pt>
                <c:pt idx="204">
                  <c:v>5.1081684660000015E-2</c:v>
                </c:pt>
                <c:pt idx="205">
                  <c:v>6.6729898820000008E-2</c:v>
                </c:pt>
                <c:pt idx="206">
                  <c:v>6.8339361600000009E-2</c:v>
                </c:pt>
                <c:pt idx="207">
                  <c:v>6.4338092020000001E-2</c:v>
                </c:pt>
                <c:pt idx="208">
                  <c:v>7.2464191539999986E-2</c:v>
                </c:pt>
                <c:pt idx="209">
                  <c:v>7.6102199079999988E-2</c:v>
                </c:pt>
                <c:pt idx="210">
                  <c:v>7.1171621800000001E-2</c:v>
                </c:pt>
                <c:pt idx="211">
                  <c:v>7.0927700019999998E-2</c:v>
                </c:pt>
                <c:pt idx="212">
                  <c:v>6.6802870080000007E-2</c:v>
                </c:pt>
                <c:pt idx="213">
                  <c:v>7.1478918020000018E-2</c:v>
                </c:pt>
                <c:pt idx="214">
                  <c:v>7.2464191539999986E-2</c:v>
                </c:pt>
                <c:pt idx="215">
                  <c:v>5.6754197200000016E-2</c:v>
                </c:pt>
                <c:pt idx="216">
                  <c:v>6.8339361600000009E-2</c:v>
                </c:pt>
                <c:pt idx="217">
                  <c:v>6.1178331219999986E-2</c:v>
                </c:pt>
                <c:pt idx="218">
                  <c:v>5.8222510660000018E-2</c:v>
                </c:pt>
                <c:pt idx="219">
                  <c:v>5.9146004000000009E-2</c:v>
                </c:pt>
                <c:pt idx="220">
                  <c:v>4.9710329300000015E-2</c:v>
                </c:pt>
                <c:pt idx="221">
                  <c:v>4.9710329300000015E-2</c:v>
                </c:pt>
                <c:pt idx="222">
                  <c:v>5.2157518399999998E-2</c:v>
                </c:pt>
                <c:pt idx="223">
                  <c:v>4.567388180000001E-2</c:v>
                </c:pt>
                <c:pt idx="224">
                  <c:v>3.4665516499999993E-2</c:v>
                </c:pt>
                <c:pt idx="225">
                  <c:v>3.9244606339999995E-2</c:v>
                </c:pt>
                <c:pt idx="226">
                  <c:v>4.2738849140000014E-2</c:v>
                </c:pt>
                <c:pt idx="227">
                  <c:v>2.8280432259999998E-2</c:v>
                </c:pt>
                <c:pt idx="228">
                  <c:v>2.6002588999999996E-2</c:v>
                </c:pt>
                <c:pt idx="229">
                  <c:v>1.9641491599999998E-2</c:v>
                </c:pt>
                <c:pt idx="230">
                  <c:v>1.8149191300000006E-2</c:v>
                </c:pt>
                <c:pt idx="231">
                  <c:v>2.2376793700000001E-2</c:v>
                </c:pt>
                <c:pt idx="232">
                  <c:v>1.4285872100000001E-2</c:v>
                </c:pt>
                <c:pt idx="233">
                  <c:v>1.4285872100000001E-2</c:v>
                </c:pt>
                <c:pt idx="234">
                  <c:v>1.0058269700000001E-2</c:v>
                </c:pt>
                <c:pt idx="235">
                  <c:v>6.133170319999999E-3</c:v>
                </c:pt>
                <c:pt idx="236">
                  <c:v>6.0096099600000013E-3</c:v>
                </c:pt>
                <c:pt idx="237">
                  <c:v>3.1869465800000011E-3</c:v>
                </c:pt>
                <c:pt idx="238">
                  <c:v>2.0877095200000006E-3</c:v>
                </c:pt>
                <c:pt idx="239">
                  <c:v>1.0434222560180002E-3</c:v>
                </c:pt>
                <c:pt idx="240">
                  <c:v>0</c:v>
                </c:pt>
                <c:pt idx="241">
                  <c:v>6.1347676018000009E-5</c:v>
                </c:pt>
                <c:pt idx="242">
                  <c:v>7.9513978000000018E-4</c:v>
                </c:pt>
                <c:pt idx="243">
                  <c:v>4.8784355999999994E-4</c:v>
                </c:pt>
                <c:pt idx="244">
                  <c:v>1.5332925799999998E-3</c:v>
                </c:pt>
                <c:pt idx="245">
                  <c:v>1.5978391960180002E-3</c:v>
                </c:pt>
                <c:pt idx="246">
                  <c:v>1.9641491600000003E-3</c:v>
                </c:pt>
                <c:pt idx="247">
                  <c:v>6.133170319999999E-3</c:v>
                </c:pt>
                <c:pt idx="248">
                  <c:v>9.1347763600000027E-3</c:v>
                </c:pt>
                <c:pt idx="249">
                  <c:v>8.9036503399999977E-3</c:v>
                </c:pt>
                <c:pt idx="250">
                  <c:v>6.9331033E-3</c:v>
                </c:pt>
                <c:pt idx="251">
                  <c:v>1.5332925800000001E-2</c:v>
                </c:pt>
                <c:pt idx="252">
                  <c:v>2.3848306100000004E-2</c:v>
                </c:pt>
                <c:pt idx="253">
                  <c:v>1.8149191300000006E-2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0-441A-AFCB-2E0ED5A0F946}"/>
            </c:ext>
          </c:extLst>
        </c:ser>
        <c:ser>
          <c:idx val="2"/>
          <c:order val="2"/>
          <c:tx>
            <c:strRef>
              <c:f>'for graph'!$D$1</c:f>
              <c:strCache>
                <c:ptCount val="1"/>
                <c:pt idx="0">
                  <c:v>E (J)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7379704747619034E-2"/>
                  <c:y val="-7.08408897867358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-0.0017x + 0.0675</a:t>
                    </a:r>
                    <a:endParaRPr lang="en-US" sz="10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'for graph'!$A$2:$A$255</c:f>
              <c:numCache>
                <c:formatCode>0.000</c:formatCode>
                <c:ptCount val="25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0.51700000000000002</c:v>
                </c:pt>
                <c:pt idx="32">
                  <c:v>0.53300000000000003</c:v>
                </c:pt>
                <c:pt idx="33">
                  <c:v>0.55000000000000004</c:v>
                </c:pt>
                <c:pt idx="34">
                  <c:v>0.56699999999999995</c:v>
                </c:pt>
                <c:pt idx="35">
                  <c:v>0.58299999999999996</c:v>
                </c:pt>
                <c:pt idx="36">
                  <c:v>0.6</c:v>
                </c:pt>
                <c:pt idx="37">
                  <c:v>0.61699999999999999</c:v>
                </c:pt>
                <c:pt idx="38">
                  <c:v>0.63300000000000001</c:v>
                </c:pt>
                <c:pt idx="39">
                  <c:v>0.65</c:v>
                </c:pt>
                <c:pt idx="40">
                  <c:v>0.66700000000000004</c:v>
                </c:pt>
                <c:pt idx="41">
                  <c:v>0.68300000000000005</c:v>
                </c:pt>
                <c:pt idx="42">
                  <c:v>0.7</c:v>
                </c:pt>
                <c:pt idx="43">
                  <c:v>0.71699999999999997</c:v>
                </c:pt>
                <c:pt idx="44">
                  <c:v>0.73299999999999998</c:v>
                </c:pt>
                <c:pt idx="45">
                  <c:v>0.75</c:v>
                </c:pt>
                <c:pt idx="46">
                  <c:v>0.76700000000000002</c:v>
                </c:pt>
                <c:pt idx="47">
                  <c:v>0.78300000000000003</c:v>
                </c:pt>
                <c:pt idx="48">
                  <c:v>0.8</c:v>
                </c:pt>
                <c:pt idx="49">
                  <c:v>0.81699999999999995</c:v>
                </c:pt>
                <c:pt idx="50">
                  <c:v>0.83299999999999996</c:v>
                </c:pt>
                <c:pt idx="51">
                  <c:v>0.85</c:v>
                </c:pt>
                <c:pt idx="52">
                  <c:v>0.86699999999999999</c:v>
                </c:pt>
                <c:pt idx="53">
                  <c:v>0.88300000000000001</c:v>
                </c:pt>
                <c:pt idx="54">
                  <c:v>0.9</c:v>
                </c:pt>
                <c:pt idx="55">
                  <c:v>0.91700000000000004</c:v>
                </c:pt>
                <c:pt idx="56">
                  <c:v>0.93300000000000005</c:v>
                </c:pt>
                <c:pt idx="57">
                  <c:v>0.95</c:v>
                </c:pt>
                <c:pt idx="58">
                  <c:v>0.96699999999999997</c:v>
                </c:pt>
                <c:pt idx="59">
                  <c:v>0.98299999999999998</c:v>
                </c:pt>
                <c:pt idx="60">
                  <c:v>1</c:v>
                </c:pt>
                <c:pt idx="61">
                  <c:v>1.0169999999999999</c:v>
                </c:pt>
                <c:pt idx="62">
                  <c:v>1.0329999999999999</c:v>
                </c:pt>
                <c:pt idx="63">
                  <c:v>1.05</c:v>
                </c:pt>
                <c:pt idx="64">
                  <c:v>1.0669999999999999</c:v>
                </c:pt>
                <c:pt idx="65">
                  <c:v>1.083</c:v>
                </c:pt>
                <c:pt idx="66">
                  <c:v>1.1000000000000001</c:v>
                </c:pt>
                <c:pt idx="67">
                  <c:v>1.117</c:v>
                </c:pt>
                <c:pt idx="68">
                  <c:v>1.133</c:v>
                </c:pt>
                <c:pt idx="69">
                  <c:v>1.1499999999999999</c:v>
                </c:pt>
                <c:pt idx="70">
                  <c:v>1.167</c:v>
                </c:pt>
                <c:pt idx="71">
                  <c:v>1.1830000000000001</c:v>
                </c:pt>
                <c:pt idx="72">
                  <c:v>1.2</c:v>
                </c:pt>
                <c:pt idx="73">
                  <c:v>1.2170000000000001</c:v>
                </c:pt>
                <c:pt idx="74">
                  <c:v>1.2330000000000001</c:v>
                </c:pt>
                <c:pt idx="75">
                  <c:v>1.25</c:v>
                </c:pt>
                <c:pt idx="76">
                  <c:v>1.2669999999999999</c:v>
                </c:pt>
                <c:pt idx="77">
                  <c:v>1.2829999999999999</c:v>
                </c:pt>
                <c:pt idx="78">
                  <c:v>1.3</c:v>
                </c:pt>
                <c:pt idx="79">
                  <c:v>1.3169999999999999</c:v>
                </c:pt>
                <c:pt idx="80">
                  <c:v>1.333</c:v>
                </c:pt>
                <c:pt idx="81">
                  <c:v>1.35</c:v>
                </c:pt>
                <c:pt idx="82">
                  <c:v>1.367</c:v>
                </c:pt>
                <c:pt idx="83">
                  <c:v>1.383</c:v>
                </c:pt>
                <c:pt idx="84">
                  <c:v>1.4</c:v>
                </c:pt>
                <c:pt idx="85">
                  <c:v>1.417</c:v>
                </c:pt>
                <c:pt idx="86">
                  <c:v>1.4330000000000001</c:v>
                </c:pt>
                <c:pt idx="87">
                  <c:v>1.45</c:v>
                </c:pt>
                <c:pt idx="88">
                  <c:v>1.4670000000000001</c:v>
                </c:pt>
                <c:pt idx="89">
                  <c:v>1.4830000000000001</c:v>
                </c:pt>
                <c:pt idx="90">
                  <c:v>1.5</c:v>
                </c:pt>
                <c:pt idx="91">
                  <c:v>1.5169999999999999</c:v>
                </c:pt>
                <c:pt idx="92">
                  <c:v>1.5329999999999999</c:v>
                </c:pt>
                <c:pt idx="93">
                  <c:v>1.55</c:v>
                </c:pt>
                <c:pt idx="94">
                  <c:v>1.5669999999999999</c:v>
                </c:pt>
                <c:pt idx="95">
                  <c:v>1.583</c:v>
                </c:pt>
                <c:pt idx="96">
                  <c:v>1.6</c:v>
                </c:pt>
                <c:pt idx="97">
                  <c:v>1.617</c:v>
                </c:pt>
                <c:pt idx="98">
                  <c:v>1.633</c:v>
                </c:pt>
                <c:pt idx="99">
                  <c:v>1.65</c:v>
                </c:pt>
                <c:pt idx="100">
                  <c:v>1.667</c:v>
                </c:pt>
                <c:pt idx="101">
                  <c:v>1.6830000000000001</c:v>
                </c:pt>
                <c:pt idx="102">
                  <c:v>1.7</c:v>
                </c:pt>
                <c:pt idx="103">
                  <c:v>1.7170000000000001</c:v>
                </c:pt>
                <c:pt idx="104">
                  <c:v>1.7330000000000001</c:v>
                </c:pt>
                <c:pt idx="105">
                  <c:v>1.75</c:v>
                </c:pt>
                <c:pt idx="106">
                  <c:v>1.7669999999999999</c:v>
                </c:pt>
                <c:pt idx="107">
                  <c:v>1.7829999999999999</c:v>
                </c:pt>
                <c:pt idx="108">
                  <c:v>1.8</c:v>
                </c:pt>
                <c:pt idx="109">
                  <c:v>1.8169999999999999</c:v>
                </c:pt>
                <c:pt idx="110">
                  <c:v>1.833</c:v>
                </c:pt>
                <c:pt idx="111">
                  <c:v>1.85</c:v>
                </c:pt>
                <c:pt idx="112">
                  <c:v>1.867</c:v>
                </c:pt>
                <c:pt idx="113">
                  <c:v>1.883</c:v>
                </c:pt>
                <c:pt idx="114">
                  <c:v>1.9</c:v>
                </c:pt>
                <c:pt idx="115">
                  <c:v>1.917</c:v>
                </c:pt>
                <c:pt idx="116">
                  <c:v>1.9330000000000001</c:v>
                </c:pt>
                <c:pt idx="117">
                  <c:v>1.95</c:v>
                </c:pt>
                <c:pt idx="118">
                  <c:v>1.9670000000000001</c:v>
                </c:pt>
                <c:pt idx="119">
                  <c:v>1.9830000000000001</c:v>
                </c:pt>
                <c:pt idx="120">
                  <c:v>2</c:v>
                </c:pt>
                <c:pt idx="121">
                  <c:v>2.0169999999999999</c:v>
                </c:pt>
                <c:pt idx="122">
                  <c:v>2.0329999999999999</c:v>
                </c:pt>
                <c:pt idx="123">
                  <c:v>2.0499999999999998</c:v>
                </c:pt>
                <c:pt idx="124">
                  <c:v>2.0670000000000002</c:v>
                </c:pt>
                <c:pt idx="125">
                  <c:v>2.0830000000000002</c:v>
                </c:pt>
                <c:pt idx="126">
                  <c:v>2.1</c:v>
                </c:pt>
                <c:pt idx="127">
                  <c:v>2.117</c:v>
                </c:pt>
                <c:pt idx="128">
                  <c:v>2.133</c:v>
                </c:pt>
                <c:pt idx="129">
                  <c:v>2.15</c:v>
                </c:pt>
                <c:pt idx="130">
                  <c:v>2.1669999999999998</c:v>
                </c:pt>
                <c:pt idx="131">
                  <c:v>2.1829999999999998</c:v>
                </c:pt>
                <c:pt idx="132">
                  <c:v>2.2000000000000002</c:v>
                </c:pt>
                <c:pt idx="133">
                  <c:v>2.2170000000000001</c:v>
                </c:pt>
                <c:pt idx="134">
                  <c:v>2.2330000000000001</c:v>
                </c:pt>
                <c:pt idx="135">
                  <c:v>2.25</c:v>
                </c:pt>
                <c:pt idx="136">
                  <c:v>2.2669999999999999</c:v>
                </c:pt>
                <c:pt idx="137">
                  <c:v>2.2829999999999999</c:v>
                </c:pt>
                <c:pt idx="138">
                  <c:v>2.2999999999999998</c:v>
                </c:pt>
                <c:pt idx="139">
                  <c:v>2.3170000000000002</c:v>
                </c:pt>
                <c:pt idx="140">
                  <c:v>2.3330000000000002</c:v>
                </c:pt>
                <c:pt idx="141">
                  <c:v>2.35</c:v>
                </c:pt>
                <c:pt idx="142">
                  <c:v>2.367</c:v>
                </c:pt>
                <c:pt idx="143">
                  <c:v>2.383</c:v>
                </c:pt>
                <c:pt idx="144">
                  <c:v>2.4</c:v>
                </c:pt>
                <c:pt idx="145">
                  <c:v>2.4169999999999998</c:v>
                </c:pt>
                <c:pt idx="146">
                  <c:v>2.4329999999999998</c:v>
                </c:pt>
                <c:pt idx="147">
                  <c:v>2.4500000000000002</c:v>
                </c:pt>
                <c:pt idx="148">
                  <c:v>2.4670000000000001</c:v>
                </c:pt>
                <c:pt idx="149">
                  <c:v>2.4830000000000001</c:v>
                </c:pt>
                <c:pt idx="150">
                  <c:v>2.5</c:v>
                </c:pt>
                <c:pt idx="151">
                  <c:v>2.5169999999999999</c:v>
                </c:pt>
                <c:pt idx="152">
                  <c:v>2.5329999999999999</c:v>
                </c:pt>
                <c:pt idx="153">
                  <c:v>2.5499999999999998</c:v>
                </c:pt>
                <c:pt idx="154">
                  <c:v>2.5670000000000002</c:v>
                </c:pt>
                <c:pt idx="155">
                  <c:v>2.5830000000000002</c:v>
                </c:pt>
                <c:pt idx="156">
                  <c:v>2.6</c:v>
                </c:pt>
                <c:pt idx="157">
                  <c:v>2.617</c:v>
                </c:pt>
                <c:pt idx="158">
                  <c:v>2.633</c:v>
                </c:pt>
                <c:pt idx="159">
                  <c:v>2.65</c:v>
                </c:pt>
                <c:pt idx="160">
                  <c:v>2.6669999999999998</c:v>
                </c:pt>
                <c:pt idx="161">
                  <c:v>2.6829999999999998</c:v>
                </c:pt>
                <c:pt idx="162">
                  <c:v>2.7</c:v>
                </c:pt>
                <c:pt idx="163">
                  <c:v>2.7170000000000001</c:v>
                </c:pt>
                <c:pt idx="164">
                  <c:v>2.7330000000000001</c:v>
                </c:pt>
                <c:pt idx="165">
                  <c:v>2.75</c:v>
                </c:pt>
                <c:pt idx="166">
                  <c:v>2.7669999999999999</c:v>
                </c:pt>
                <c:pt idx="167">
                  <c:v>2.7829999999999999</c:v>
                </c:pt>
                <c:pt idx="168">
                  <c:v>2.8</c:v>
                </c:pt>
                <c:pt idx="169">
                  <c:v>2.8170000000000002</c:v>
                </c:pt>
                <c:pt idx="170">
                  <c:v>2.8330000000000002</c:v>
                </c:pt>
                <c:pt idx="171">
                  <c:v>2.85</c:v>
                </c:pt>
                <c:pt idx="172">
                  <c:v>2.867</c:v>
                </c:pt>
                <c:pt idx="173">
                  <c:v>2.883</c:v>
                </c:pt>
                <c:pt idx="174">
                  <c:v>2.9</c:v>
                </c:pt>
                <c:pt idx="175">
                  <c:v>2.9169999999999998</c:v>
                </c:pt>
                <c:pt idx="176">
                  <c:v>2.9329999999999998</c:v>
                </c:pt>
                <c:pt idx="177">
                  <c:v>2.95</c:v>
                </c:pt>
                <c:pt idx="178">
                  <c:v>2.9670000000000001</c:v>
                </c:pt>
                <c:pt idx="179">
                  <c:v>2.9830000000000001</c:v>
                </c:pt>
                <c:pt idx="180">
                  <c:v>3</c:v>
                </c:pt>
                <c:pt idx="181">
                  <c:v>3.0169999999999999</c:v>
                </c:pt>
                <c:pt idx="182">
                  <c:v>3.0329999999999999</c:v>
                </c:pt>
                <c:pt idx="183">
                  <c:v>3.05</c:v>
                </c:pt>
                <c:pt idx="184">
                  <c:v>3.0670000000000002</c:v>
                </c:pt>
                <c:pt idx="185">
                  <c:v>3.0830000000000002</c:v>
                </c:pt>
                <c:pt idx="186">
                  <c:v>3.1</c:v>
                </c:pt>
                <c:pt idx="187">
                  <c:v>3.117</c:v>
                </c:pt>
                <c:pt idx="188">
                  <c:v>3.133</c:v>
                </c:pt>
                <c:pt idx="189">
                  <c:v>3.15</c:v>
                </c:pt>
                <c:pt idx="190">
                  <c:v>3.1669999999999998</c:v>
                </c:pt>
                <c:pt idx="191">
                  <c:v>3.1829999999999998</c:v>
                </c:pt>
                <c:pt idx="192">
                  <c:v>3.2</c:v>
                </c:pt>
                <c:pt idx="193">
                  <c:v>3.2170000000000001</c:v>
                </c:pt>
                <c:pt idx="194">
                  <c:v>3.2330000000000001</c:v>
                </c:pt>
                <c:pt idx="195">
                  <c:v>3.25</c:v>
                </c:pt>
                <c:pt idx="196">
                  <c:v>3.2669999999999999</c:v>
                </c:pt>
                <c:pt idx="197">
                  <c:v>3.2829999999999999</c:v>
                </c:pt>
                <c:pt idx="198">
                  <c:v>3.3</c:v>
                </c:pt>
                <c:pt idx="199">
                  <c:v>3.3170000000000002</c:v>
                </c:pt>
                <c:pt idx="200">
                  <c:v>3.3330000000000002</c:v>
                </c:pt>
                <c:pt idx="201">
                  <c:v>3.35</c:v>
                </c:pt>
                <c:pt idx="202">
                  <c:v>3.367</c:v>
                </c:pt>
                <c:pt idx="203">
                  <c:v>3.383</c:v>
                </c:pt>
                <c:pt idx="204">
                  <c:v>3.4</c:v>
                </c:pt>
                <c:pt idx="205">
                  <c:v>3.4169999999999998</c:v>
                </c:pt>
                <c:pt idx="206">
                  <c:v>3.4329999999999998</c:v>
                </c:pt>
                <c:pt idx="207">
                  <c:v>3.45</c:v>
                </c:pt>
                <c:pt idx="208">
                  <c:v>3.4670000000000001</c:v>
                </c:pt>
                <c:pt idx="209">
                  <c:v>3.4830000000000001</c:v>
                </c:pt>
                <c:pt idx="210">
                  <c:v>3.5</c:v>
                </c:pt>
                <c:pt idx="211">
                  <c:v>3.5169999999999999</c:v>
                </c:pt>
                <c:pt idx="212">
                  <c:v>3.5329999999999999</c:v>
                </c:pt>
                <c:pt idx="213">
                  <c:v>3.55</c:v>
                </c:pt>
                <c:pt idx="214">
                  <c:v>3.5670000000000002</c:v>
                </c:pt>
                <c:pt idx="215">
                  <c:v>3.5830000000000002</c:v>
                </c:pt>
                <c:pt idx="216">
                  <c:v>3.6</c:v>
                </c:pt>
                <c:pt idx="217">
                  <c:v>3.617</c:v>
                </c:pt>
                <c:pt idx="218">
                  <c:v>3.633</c:v>
                </c:pt>
                <c:pt idx="219">
                  <c:v>3.65</c:v>
                </c:pt>
                <c:pt idx="220">
                  <c:v>3.6669999999999998</c:v>
                </c:pt>
                <c:pt idx="221">
                  <c:v>3.6829999999999998</c:v>
                </c:pt>
                <c:pt idx="222">
                  <c:v>3.7</c:v>
                </c:pt>
                <c:pt idx="223">
                  <c:v>3.7170000000000001</c:v>
                </c:pt>
                <c:pt idx="224">
                  <c:v>3.7330000000000001</c:v>
                </c:pt>
                <c:pt idx="225">
                  <c:v>3.75</c:v>
                </c:pt>
                <c:pt idx="226">
                  <c:v>3.7669999999999999</c:v>
                </c:pt>
                <c:pt idx="227">
                  <c:v>3.7829999999999999</c:v>
                </c:pt>
                <c:pt idx="228">
                  <c:v>3.8</c:v>
                </c:pt>
                <c:pt idx="229">
                  <c:v>3.8170000000000002</c:v>
                </c:pt>
                <c:pt idx="230">
                  <c:v>3.8330000000000002</c:v>
                </c:pt>
                <c:pt idx="231">
                  <c:v>3.85</c:v>
                </c:pt>
                <c:pt idx="232">
                  <c:v>3.867</c:v>
                </c:pt>
                <c:pt idx="233">
                  <c:v>3.883</c:v>
                </c:pt>
                <c:pt idx="234">
                  <c:v>3.9</c:v>
                </c:pt>
                <c:pt idx="235">
                  <c:v>3.9169999999999998</c:v>
                </c:pt>
                <c:pt idx="236">
                  <c:v>3.9329999999999998</c:v>
                </c:pt>
                <c:pt idx="237">
                  <c:v>3.95</c:v>
                </c:pt>
                <c:pt idx="238">
                  <c:v>3.9670000000000001</c:v>
                </c:pt>
                <c:pt idx="239">
                  <c:v>3.9830000000000001</c:v>
                </c:pt>
                <c:pt idx="240">
                  <c:v>4</c:v>
                </c:pt>
                <c:pt idx="241">
                  <c:v>4.0170000000000003</c:v>
                </c:pt>
                <c:pt idx="242">
                  <c:v>4.0330000000000004</c:v>
                </c:pt>
                <c:pt idx="243">
                  <c:v>4.05</c:v>
                </c:pt>
                <c:pt idx="244">
                  <c:v>4.0670000000000002</c:v>
                </c:pt>
                <c:pt idx="245">
                  <c:v>4.0830000000000002</c:v>
                </c:pt>
                <c:pt idx="246">
                  <c:v>4.0999999999999996</c:v>
                </c:pt>
                <c:pt idx="247">
                  <c:v>4.117</c:v>
                </c:pt>
                <c:pt idx="248">
                  <c:v>4.133</c:v>
                </c:pt>
                <c:pt idx="249">
                  <c:v>4.1500000000000004</c:v>
                </c:pt>
                <c:pt idx="250">
                  <c:v>4.1669999999999998</c:v>
                </c:pt>
                <c:pt idx="251">
                  <c:v>4.1829999999999998</c:v>
                </c:pt>
                <c:pt idx="252">
                  <c:v>4.2</c:v>
                </c:pt>
                <c:pt idx="253">
                  <c:v>4.2169999999999996</c:v>
                </c:pt>
              </c:numCache>
            </c:numRef>
          </c:xVal>
          <c:yVal>
            <c:numRef>
              <c:f>'for graph'!$D$2:$D$255</c:f>
              <c:numCache>
                <c:formatCode>0.0000</c:formatCode>
                <c:ptCount val="254"/>
                <c:pt idx="0">
                  <c:v>6.0718798800000001E-2</c:v>
                </c:pt>
                <c:pt idx="1">
                  <c:v>6.0962720580000004E-2</c:v>
                </c:pt>
                <c:pt idx="2">
                  <c:v>6.1206642360000001E-2</c:v>
                </c:pt>
                <c:pt idx="3">
                  <c:v>6.2215162900000003E-2</c:v>
                </c:pt>
                <c:pt idx="4">
                  <c:v>6.0988520500000004E-2</c:v>
                </c:pt>
                <c:pt idx="5">
                  <c:v>5.9966318500000011E-2</c:v>
                </c:pt>
                <c:pt idx="6">
                  <c:v>6.3605774420000011E-2</c:v>
                </c:pt>
                <c:pt idx="7">
                  <c:v>6.351592276000001E-2</c:v>
                </c:pt>
                <c:pt idx="8">
                  <c:v>6.1649273540000007E-2</c:v>
                </c:pt>
                <c:pt idx="9">
                  <c:v>6.4106361639999998E-2</c:v>
                </c:pt>
                <c:pt idx="10">
                  <c:v>6.5038065940000001E-2</c:v>
                </c:pt>
                <c:pt idx="11">
                  <c:v>6.3739400500000015E-2</c:v>
                </c:pt>
                <c:pt idx="12">
                  <c:v>6.7484348499999999E-2</c:v>
                </c:pt>
                <c:pt idx="13">
                  <c:v>6.654771554000001E-2</c:v>
                </c:pt>
                <c:pt idx="14">
                  <c:v>6.5488585060000007E-2</c:v>
                </c:pt>
                <c:pt idx="15">
                  <c:v>6.9819022440000017E-2</c:v>
                </c:pt>
                <c:pt idx="16">
                  <c:v>6.6752416440000004E-2</c:v>
                </c:pt>
                <c:pt idx="17">
                  <c:v>6.9103210119999994E-2</c:v>
                </c:pt>
                <c:pt idx="18">
                  <c:v>7.6362282280000027E-2</c:v>
                </c:pt>
                <c:pt idx="19">
                  <c:v>6.8023896100000009E-2</c:v>
                </c:pt>
                <c:pt idx="20">
                  <c:v>7.250631126400002E-2</c:v>
                </c:pt>
                <c:pt idx="21">
                  <c:v>7.703438895200003E-2</c:v>
                </c:pt>
                <c:pt idx="22">
                  <c:v>7.0787403056000009E-2</c:v>
                </c:pt>
                <c:pt idx="23">
                  <c:v>7.0650184160000018E-2</c:v>
                </c:pt>
                <c:pt idx="24">
                  <c:v>7.5095599988000014E-2</c:v>
                </c:pt>
                <c:pt idx="25">
                  <c:v>7.2080681356000015E-2</c:v>
                </c:pt>
                <c:pt idx="26">
                  <c:v>7.4513893068000006E-2</c:v>
                </c:pt>
                <c:pt idx="27">
                  <c:v>7.7470791055999993E-2</c:v>
                </c:pt>
                <c:pt idx="28">
                  <c:v>7.5378956883199996E-2</c:v>
                </c:pt>
                <c:pt idx="29">
                  <c:v>7.0341103410799993E-2</c:v>
                </c:pt>
                <c:pt idx="30">
                  <c:v>7.3612800986818008E-2</c:v>
                </c:pt>
                <c:pt idx="31">
                  <c:v>7.4625629854000022E-2</c:v>
                </c:pt>
                <c:pt idx="32">
                  <c:v>7.1478918020000018E-2</c:v>
                </c:pt>
                <c:pt idx="33">
                  <c:v>7.1694580343200004E-2</c:v>
                </c:pt>
                <c:pt idx="34">
                  <c:v>6.8399800726000007E-2</c:v>
                </c:pt>
                <c:pt idx="35">
                  <c:v>6.9876369952E-2</c:v>
                </c:pt>
                <c:pt idx="36">
                  <c:v>6.9868058960000007E-2</c:v>
                </c:pt>
                <c:pt idx="37">
                  <c:v>7.7005444276000007E-2</c:v>
                </c:pt>
                <c:pt idx="38">
                  <c:v>6.8499341943999981E-2</c:v>
                </c:pt>
                <c:pt idx="39">
                  <c:v>6.7127919896000018E-2</c:v>
                </c:pt>
                <c:pt idx="40">
                  <c:v>7.2972735471999992E-2</c:v>
                </c:pt>
                <c:pt idx="41">
                  <c:v>7.1186132691999998E-2</c:v>
                </c:pt>
                <c:pt idx="42">
                  <c:v>6.9164408864000007E-2</c:v>
                </c:pt>
                <c:pt idx="43">
                  <c:v>6.9747322420000007E-2</c:v>
                </c:pt>
                <c:pt idx="44">
                  <c:v>7.12949425E-2</c:v>
                </c:pt>
                <c:pt idx="45">
                  <c:v>6.5719408899999998E-2</c:v>
                </c:pt>
                <c:pt idx="46">
                  <c:v>6.7369884800000002E-2</c:v>
                </c:pt>
                <c:pt idx="47">
                  <c:v>6.6305440120000003E-2</c:v>
                </c:pt>
                <c:pt idx="48">
                  <c:v>6.3151837540000005E-2</c:v>
                </c:pt>
                <c:pt idx="49">
                  <c:v>6.7963845640000006E-2</c:v>
                </c:pt>
                <c:pt idx="50">
                  <c:v>7.3162675400000002E-2</c:v>
                </c:pt>
                <c:pt idx="51">
                  <c:v>6.1946608240000006E-2</c:v>
                </c:pt>
                <c:pt idx="52">
                  <c:v>5.5356135380000004E-2</c:v>
                </c:pt>
                <c:pt idx="53">
                  <c:v>6.3910778240000007E-2</c:v>
                </c:pt>
                <c:pt idx="54">
                  <c:v>6.5005565960000011E-2</c:v>
                </c:pt>
                <c:pt idx="55">
                  <c:v>5.8860662720000012E-2</c:v>
                </c:pt>
                <c:pt idx="56">
                  <c:v>5.8368025960000014E-2</c:v>
                </c:pt>
                <c:pt idx="57">
                  <c:v>6.0166913920000009E-2</c:v>
                </c:pt>
                <c:pt idx="58">
                  <c:v>5.8572164180000011E-2</c:v>
                </c:pt>
                <c:pt idx="59">
                  <c:v>5.8366343056017997E-2</c:v>
                </c:pt>
                <c:pt idx="60">
                  <c:v>5.8366343056017997E-2</c:v>
                </c:pt>
                <c:pt idx="61">
                  <c:v>5.7509100076018012E-2</c:v>
                </c:pt>
                <c:pt idx="62">
                  <c:v>5.8612291599999998E-2</c:v>
                </c:pt>
                <c:pt idx="63">
                  <c:v>5.8242892180000012E-2</c:v>
                </c:pt>
                <c:pt idx="64">
                  <c:v>5.7220690180000013E-2</c:v>
                </c:pt>
                <c:pt idx="65">
                  <c:v>5.8389699560000008E-2</c:v>
                </c:pt>
                <c:pt idx="66">
                  <c:v>5.8922442900000011E-2</c:v>
                </c:pt>
                <c:pt idx="67">
                  <c:v>5.9925847220000009E-2</c:v>
                </c:pt>
                <c:pt idx="68">
                  <c:v>6.1372810100000008E-2</c:v>
                </c:pt>
                <c:pt idx="69">
                  <c:v>6.514436036E-2</c:v>
                </c:pt>
                <c:pt idx="70">
                  <c:v>6.0967732600000005E-2</c:v>
                </c:pt>
                <c:pt idx="71">
                  <c:v>5.8674290600000005E-2</c:v>
                </c:pt>
                <c:pt idx="72">
                  <c:v>6.5145266900000012E-2</c:v>
                </c:pt>
                <c:pt idx="73">
                  <c:v>6.4787360740000008E-2</c:v>
                </c:pt>
                <c:pt idx="74">
                  <c:v>6.3670597240000015E-2</c:v>
                </c:pt>
                <c:pt idx="75">
                  <c:v>6.4400737059999991E-2</c:v>
                </c:pt>
                <c:pt idx="76">
                  <c:v>6.9512090919999991E-2</c:v>
                </c:pt>
                <c:pt idx="77">
                  <c:v>6.7001329400000004E-2</c:v>
                </c:pt>
                <c:pt idx="78">
                  <c:v>6.4401080919999992E-2</c:v>
                </c:pt>
                <c:pt idx="79">
                  <c:v>7.2919843551999999E-2</c:v>
                </c:pt>
                <c:pt idx="80">
                  <c:v>6.9783634036000006E-2</c:v>
                </c:pt>
                <c:pt idx="81">
                  <c:v>6.6469411324000013E-2</c:v>
                </c:pt>
                <c:pt idx="82">
                  <c:v>7.9264792035999981E-2</c:v>
                </c:pt>
                <c:pt idx="83">
                  <c:v>7.4572232564000002E-2</c:v>
                </c:pt>
                <c:pt idx="84">
                  <c:v>5.7756086452000019E-2</c:v>
                </c:pt>
                <c:pt idx="85">
                  <c:v>7.1436435680000007E-2</c:v>
                </c:pt>
                <c:pt idx="86">
                  <c:v>6.9385074246000003E-2</c:v>
                </c:pt>
                <c:pt idx="87">
                  <c:v>8.1087401126000019E-2</c:v>
                </c:pt>
                <c:pt idx="88">
                  <c:v>8.499790979679997E-2</c:v>
                </c:pt>
                <c:pt idx="89">
                  <c:v>6.6216273470800002E-2</c:v>
                </c:pt>
                <c:pt idx="90">
                  <c:v>6.8556829084000001E-2</c:v>
                </c:pt>
                <c:pt idx="91">
                  <c:v>6.8374254980018007E-2</c:v>
                </c:pt>
                <c:pt idx="92">
                  <c:v>7.3090046884018003E-2</c:v>
                </c:pt>
                <c:pt idx="93">
                  <c:v>7.659623212000001E-2</c:v>
                </c:pt>
                <c:pt idx="94">
                  <c:v>6.7293648954000015E-2</c:v>
                </c:pt>
                <c:pt idx="95">
                  <c:v>7.1386816056799987E-2</c:v>
                </c:pt>
                <c:pt idx="96">
                  <c:v>7.4178284665999988E-2</c:v>
                </c:pt>
                <c:pt idx="97">
                  <c:v>6.3793123935999979E-2</c:v>
                </c:pt>
                <c:pt idx="98">
                  <c:v>6.8131661824000003E-2</c:v>
                </c:pt>
                <c:pt idx="99">
                  <c:v>6.3881875244000005E-2</c:v>
                </c:pt>
                <c:pt idx="100">
                  <c:v>6.8035072592000007E-2</c:v>
                </c:pt>
                <c:pt idx="101">
                  <c:v>6.7003282107999995E-2</c:v>
                </c:pt>
                <c:pt idx="102">
                  <c:v>6.3329854904000005E-2</c:v>
                </c:pt>
                <c:pt idx="103">
                  <c:v>7.3392011264000023E-2</c:v>
                </c:pt>
                <c:pt idx="104">
                  <c:v>6.7221087200000001E-2</c:v>
                </c:pt>
                <c:pt idx="105">
                  <c:v>6.1236672800000003E-2</c:v>
                </c:pt>
                <c:pt idx="106">
                  <c:v>6.4591391800000009E-2</c:v>
                </c:pt>
                <c:pt idx="107">
                  <c:v>5.8165659140000006E-2</c:v>
                </c:pt>
                <c:pt idx="108">
                  <c:v>5.1632902660000007E-2</c:v>
                </c:pt>
                <c:pt idx="109">
                  <c:v>5.969130344000001E-2</c:v>
                </c:pt>
                <c:pt idx="110">
                  <c:v>6.4462881940000008E-2</c:v>
                </c:pt>
                <c:pt idx="111">
                  <c:v>5.5724305240000001E-2</c:v>
                </c:pt>
                <c:pt idx="112">
                  <c:v>5.3768710900000002E-2</c:v>
                </c:pt>
                <c:pt idx="113">
                  <c:v>5.9142721700000005E-2</c:v>
                </c:pt>
                <c:pt idx="114">
                  <c:v>5.8607519240000003E-2</c:v>
                </c:pt>
                <c:pt idx="115">
                  <c:v>5.4702082400000004E-2</c:v>
                </c:pt>
                <c:pt idx="116">
                  <c:v>5.5464784720000007E-2</c:v>
                </c:pt>
                <c:pt idx="117">
                  <c:v>5.6301646180000012E-2</c:v>
                </c:pt>
                <c:pt idx="118">
                  <c:v>5.5446653920000012E-2</c:v>
                </c:pt>
                <c:pt idx="119">
                  <c:v>5.4993712076018011E-2</c:v>
                </c:pt>
                <c:pt idx="120">
                  <c:v>5.5299737056018004E-2</c:v>
                </c:pt>
                <c:pt idx="121">
                  <c:v>5.5708617856018008E-2</c:v>
                </c:pt>
                <c:pt idx="122">
                  <c:v>5.6321939056018011E-2</c:v>
                </c:pt>
                <c:pt idx="123">
                  <c:v>5.6345295560000008E-2</c:v>
                </c:pt>
                <c:pt idx="124">
                  <c:v>5.7016551960000009E-2</c:v>
                </c:pt>
                <c:pt idx="125">
                  <c:v>5.6914967380000014E-2</c:v>
                </c:pt>
                <c:pt idx="126">
                  <c:v>5.7546419380000005E-2</c:v>
                </c:pt>
                <c:pt idx="127">
                  <c:v>5.5502015380000005E-2</c:v>
                </c:pt>
                <c:pt idx="128">
                  <c:v>5.5589918500000002E-2</c:v>
                </c:pt>
                <c:pt idx="129">
                  <c:v>6.042643444000001E-2</c:v>
                </c:pt>
                <c:pt idx="130">
                  <c:v>5.6721655540000006E-2</c:v>
                </c:pt>
                <c:pt idx="131">
                  <c:v>5.1453939160000003E-2</c:v>
                </c:pt>
                <c:pt idx="132">
                  <c:v>5.9471003800000005E-2</c:v>
                </c:pt>
                <c:pt idx="133">
                  <c:v>7.089094868000001E-2</c:v>
                </c:pt>
                <c:pt idx="134">
                  <c:v>5.9530814599999995E-2</c:v>
                </c:pt>
                <c:pt idx="135">
                  <c:v>5.6011376240000008E-2</c:v>
                </c:pt>
                <c:pt idx="136">
                  <c:v>6.2469410899999994E-2</c:v>
                </c:pt>
                <c:pt idx="137">
                  <c:v>6.3281076800000002E-2</c:v>
                </c:pt>
                <c:pt idx="138">
                  <c:v>6.0937587539999997E-2</c:v>
                </c:pt>
                <c:pt idx="139">
                  <c:v>6.156167676800002E-2</c:v>
                </c:pt>
                <c:pt idx="140">
                  <c:v>6.8365553312000005E-2</c:v>
                </c:pt>
                <c:pt idx="141">
                  <c:v>6.9987470076000008E-2</c:v>
                </c:pt>
                <c:pt idx="142">
                  <c:v>5.9644088336000017E-2</c:v>
                </c:pt>
                <c:pt idx="143">
                  <c:v>6.3879511988000015E-2</c:v>
                </c:pt>
                <c:pt idx="144">
                  <c:v>6.5943966152000016E-2</c:v>
                </c:pt>
                <c:pt idx="145">
                  <c:v>6.5637747359999998E-2</c:v>
                </c:pt>
                <c:pt idx="146">
                  <c:v>6.6429517312000003E-2</c:v>
                </c:pt>
                <c:pt idx="147">
                  <c:v>6.6052185145999989E-2</c:v>
                </c:pt>
                <c:pt idx="148">
                  <c:v>7.2086859374000001E-2</c:v>
                </c:pt>
                <c:pt idx="149">
                  <c:v>6.4955366567999995E-2</c:v>
                </c:pt>
                <c:pt idx="150">
                  <c:v>6.4955366567999995E-2</c:v>
                </c:pt>
                <c:pt idx="151">
                  <c:v>6.8033461660000003E-2</c:v>
                </c:pt>
                <c:pt idx="152">
                  <c:v>6.3908631719999998E-2</c:v>
                </c:pt>
                <c:pt idx="153">
                  <c:v>6.9387492728000016E-2</c:v>
                </c:pt>
                <c:pt idx="154">
                  <c:v>7.410267131080002E-2</c:v>
                </c:pt>
                <c:pt idx="155">
                  <c:v>6.7261986116799996E-2</c:v>
                </c:pt>
                <c:pt idx="156">
                  <c:v>5.7277155743200019E-2</c:v>
                </c:pt>
                <c:pt idx="157">
                  <c:v>6.4069689491999995E-2</c:v>
                </c:pt>
                <c:pt idx="158">
                  <c:v>7.311442246399999E-2</c:v>
                </c:pt>
                <c:pt idx="159">
                  <c:v>8.025385218400001E-2</c:v>
                </c:pt>
                <c:pt idx="160">
                  <c:v>6.5973300536000007E-2</c:v>
                </c:pt>
                <c:pt idx="161">
                  <c:v>5.332450004799999E-2</c:v>
                </c:pt>
                <c:pt idx="162">
                  <c:v>6.9177792312000011E-2</c:v>
                </c:pt>
                <c:pt idx="163">
                  <c:v>7.0211143712000004E-2</c:v>
                </c:pt>
                <c:pt idx="164">
                  <c:v>6.0097527139999996E-2</c:v>
                </c:pt>
                <c:pt idx="165">
                  <c:v>6.0623351600000007E-2</c:v>
                </c:pt>
                <c:pt idx="166">
                  <c:v>6.239738786E-2</c:v>
                </c:pt>
                <c:pt idx="167">
                  <c:v>6.5938802000000005E-2</c:v>
                </c:pt>
                <c:pt idx="168">
                  <c:v>6.34951557E-2</c:v>
                </c:pt>
                <c:pt idx="169">
                  <c:v>6.0961897400000006E-2</c:v>
                </c:pt>
                <c:pt idx="170">
                  <c:v>6.4174039540000005E-2</c:v>
                </c:pt>
                <c:pt idx="171">
                  <c:v>6.1231358600000008E-2</c:v>
                </c:pt>
                <c:pt idx="172">
                  <c:v>5.9741715399999999E-2</c:v>
                </c:pt>
                <c:pt idx="173">
                  <c:v>5.8790911240000007E-2</c:v>
                </c:pt>
                <c:pt idx="174">
                  <c:v>5.8739936600000014E-2</c:v>
                </c:pt>
                <c:pt idx="175">
                  <c:v>5.7225441700000004E-2</c:v>
                </c:pt>
                <c:pt idx="176">
                  <c:v>5.5301419960000001E-2</c:v>
                </c:pt>
                <c:pt idx="177">
                  <c:v>5.6746486400000004E-2</c:v>
                </c:pt>
                <c:pt idx="178">
                  <c:v>5.8790890400000011E-2</c:v>
                </c:pt>
                <c:pt idx="179">
                  <c:v>5.6936640980000008E-2</c:v>
                </c:pt>
                <c:pt idx="180">
                  <c:v>5.6321939056018011E-2</c:v>
                </c:pt>
                <c:pt idx="181">
                  <c:v>5.6548245752036007E-2</c:v>
                </c:pt>
                <c:pt idx="182">
                  <c:v>5.5464696076018012E-2</c:v>
                </c:pt>
                <c:pt idx="183">
                  <c:v>5.6016669600000013E-2</c:v>
                </c:pt>
                <c:pt idx="184">
                  <c:v>5.6505784400000009E-2</c:v>
                </c:pt>
                <c:pt idx="185">
                  <c:v>5.682994018000001E-2</c:v>
                </c:pt>
                <c:pt idx="186">
                  <c:v>5.8368025960000014E-2</c:v>
                </c:pt>
                <c:pt idx="187">
                  <c:v>5.6746486400000004E-2</c:v>
                </c:pt>
                <c:pt idx="188">
                  <c:v>5.9294697400000006E-2</c:v>
                </c:pt>
                <c:pt idx="189">
                  <c:v>5.9084161300000007E-2</c:v>
                </c:pt>
                <c:pt idx="190">
                  <c:v>5.9894555960000012E-2</c:v>
                </c:pt>
                <c:pt idx="191">
                  <c:v>6.2537609800000005E-2</c:v>
                </c:pt>
                <c:pt idx="192">
                  <c:v>6.3990647540000001E-2</c:v>
                </c:pt>
                <c:pt idx="193">
                  <c:v>6.3780111440000009E-2</c:v>
                </c:pt>
                <c:pt idx="194">
                  <c:v>6.5802821000000011E-2</c:v>
                </c:pt>
                <c:pt idx="195">
                  <c:v>6.2574538280000008E-2</c:v>
                </c:pt>
                <c:pt idx="196">
                  <c:v>5.7382992100000002E-2</c:v>
                </c:pt>
                <c:pt idx="197">
                  <c:v>6.1656359140000012E-2</c:v>
                </c:pt>
                <c:pt idx="198">
                  <c:v>6.8687827239999999E-2</c:v>
                </c:pt>
                <c:pt idx="199">
                  <c:v>6.8023896100000009E-2</c:v>
                </c:pt>
                <c:pt idx="200">
                  <c:v>6.5901292084000029E-2</c:v>
                </c:pt>
                <c:pt idx="201">
                  <c:v>7.3402195772000023E-2</c:v>
                </c:pt>
                <c:pt idx="202">
                  <c:v>7.8175349776000019E-2</c:v>
                </c:pt>
                <c:pt idx="203">
                  <c:v>6.5970937280000003E-2</c:v>
                </c:pt>
                <c:pt idx="204">
                  <c:v>5.997075325200002E-2</c:v>
                </c:pt>
                <c:pt idx="205">
                  <c:v>7.3527542120000011E-2</c:v>
                </c:pt>
                <c:pt idx="206">
                  <c:v>7.3045579608000011E-2</c:v>
                </c:pt>
                <c:pt idx="207">
                  <c:v>6.8520942604000004E-2</c:v>
                </c:pt>
                <c:pt idx="208">
                  <c:v>7.4555616831999988E-2</c:v>
                </c:pt>
                <c:pt idx="209">
                  <c:v>7.7670870269199985E-2</c:v>
                </c:pt>
                <c:pt idx="210">
                  <c:v>7.1171621800000001E-2</c:v>
                </c:pt>
                <c:pt idx="211">
                  <c:v>7.1450658563200001E-2</c:v>
                </c:pt>
                <c:pt idx="212">
                  <c:v>6.6802870080000007E-2</c:v>
                </c:pt>
                <c:pt idx="213">
                  <c:v>7.2001876563200021E-2</c:v>
                </c:pt>
                <c:pt idx="214">
                  <c:v>7.4032862729199983E-2</c:v>
                </c:pt>
                <c:pt idx="215">
                  <c:v>5.9892357340000014E-2</c:v>
                </c:pt>
                <c:pt idx="216">
                  <c:v>7.2522212184000012E-2</c:v>
                </c:pt>
                <c:pt idx="217">
                  <c:v>6.6929239671999985E-2</c:v>
                </c:pt>
                <c:pt idx="218">
                  <c:v>6.554352138400002E-2</c:v>
                </c:pt>
                <c:pt idx="219">
                  <c:v>6.8558440016000005E-2</c:v>
                </c:pt>
                <c:pt idx="220">
                  <c:v>6.1214190608000013E-2</c:v>
                </c:pt>
                <c:pt idx="221">
                  <c:v>6.382693892000002E-2</c:v>
                </c:pt>
                <c:pt idx="222">
                  <c:v>6.8365553312000005E-2</c:v>
                </c:pt>
                <c:pt idx="223">
                  <c:v>6.5543444276000007E-2</c:v>
                </c:pt>
                <c:pt idx="224">
                  <c:v>5.7767281699999992E-2</c:v>
                </c:pt>
                <c:pt idx="225">
                  <c:v>6.3777454339999998E-2</c:v>
                </c:pt>
                <c:pt idx="226">
                  <c:v>6.9929422340000019E-2</c:v>
                </c:pt>
                <c:pt idx="227">
                  <c:v>5.853761146E-2</c:v>
                </c:pt>
                <c:pt idx="228">
                  <c:v>5.8508612599999996E-2</c:v>
                </c:pt>
                <c:pt idx="229">
                  <c:v>5.5214121200000001E-2</c:v>
                </c:pt>
                <c:pt idx="230">
                  <c:v>5.4744022900000008E-2</c:v>
                </c:pt>
                <c:pt idx="231">
                  <c:v>6.306043330000001E-2</c:v>
                </c:pt>
                <c:pt idx="232">
                  <c:v>5.7627236900000003E-2</c:v>
                </c:pt>
                <c:pt idx="233">
                  <c:v>5.9262760100000006E-2</c:v>
                </c:pt>
                <c:pt idx="234">
                  <c:v>5.7692882900000006E-2</c:v>
                </c:pt>
                <c:pt idx="235">
                  <c:v>5.5198866320000005E-2</c:v>
                </c:pt>
                <c:pt idx="236">
                  <c:v>5.6710829160000011E-2</c:v>
                </c:pt>
                <c:pt idx="237">
                  <c:v>5.593256978000001E-2</c:v>
                </c:pt>
                <c:pt idx="238">
                  <c:v>5.483333272000001E-2</c:v>
                </c:pt>
                <c:pt idx="239">
                  <c:v>5.5424568656018011E-2</c:v>
                </c:pt>
                <c:pt idx="240">
                  <c:v>5.4994467600000006E-2</c:v>
                </c:pt>
                <c:pt idx="241">
                  <c:v>5.4442494076018012E-2</c:v>
                </c:pt>
                <c:pt idx="242">
                  <c:v>5.5789607380000009E-2</c:v>
                </c:pt>
                <c:pt idx="243">
                  <c:v>5.589119196000001E-2</c:v>
                </c:pt>
                <c:pt idx="244">
                  <c:v>5.5301117780000006E-2</c:v>
                </c:pt>
                <c:pt idx="245">
                  <c:v>5.4956783596018008E-2</c:v>
                </c:pt>
                <c:pt idx="246">
                  <c:v>5.5323093560000008E-2</c:v>
                </c:pt>
                <c:pt idx="247">
                  <c:v>5.7447710720000003E-2</c:v>
                </c:pt>
                <c:pt idx="248">
                  <c:v>5.942711476000001E-2</c:v>
                </c:pt>
                <c:pt idx="249">
                  <c:v>5.6538263540000008E-2</c:v>
                </c:pt>
                <c:pt idx="250">
                  <c:v>5.2932193300000006E-2</c:v>
                </c:pt>
                <c:pt idx="251">
                  <c:v>5.9287611800000008E-2</c:v>
                </c:pt>
                <c:pt idx="252">
                  <c:v>6.5145266900000012E-2</c:v>
                </c:pt>
                <c:pt idx="253">
                  <c:v>5.6788426900000008E-2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0-441A-AFCB-2E0ED5A0F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725232"/>
        <c:axId val="1420068304"/>
      </c:scatterChart>
      <c:valAx>
        <c:axId val="140772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(s)</a:t>
                </a:r>
              </a:p>
            </c:rich>
          </c:tx>
          <c:layout>
            <c:manualLayout>
              <c:xMode val="edge"/>
              <c:yMode val="edge"/>
              <c:x val="0.49238606417249886"/>
              <c:y val="0.85252634237046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68304"/>
        <c:crosses val="autoZero"/>
        <c:crossBetween val="midCat"/>
      </c:valAx>
      <c:valAx>
        <c:axId val="14200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Energy</a:t>
                </a:r>
                <a:r>
                  <a:rPr lang="en-US" sz="1200" b="1" baseline="0"/>
                  <a:t> (J)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2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605790</xdr:colOff>
      <xdr:row>1</xdr:row>
      <xdr:rowOff>80010</xdr:rowOff>
    </xdr:from>
    <xdr:to>
      <xdr:col>16</xdr:col>
      <xdr:colOff>99060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EBC92-8E33-5A1E-A5E1-CD6D63A6D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B39E-D652-7043-A384-227204337E5B}">
  <dimension ref="A1:L360"/>
  <sheetViews>
    <sheetView topLeftCell="A3" zoomScale="85" zoomScaleNormal="85" workbookViewId="0">
      <selection activeCell="H3" sqref="H3"/>
    </sheetView>
  </sheetViews>
  <sheetFormatPr defaultColWidth="11.19921875" defaultRowHeight="15.6" x14ac:dyDescent="0.3"/>
  <cols>
    <col min="2" max="2" width="12.796875" customWidth="1"/>
    <col min="3" max="3" width="15" customWidth="1"/>
    <col min="4" max="4" width="14.5" customWidth="1"/>
    <col min="5" max="5" width="12.796875" customWidth="1"/>
    <col min="6" max="6" width="10.796875" customWidth="1"/>
    <col min="7" max="7" width="10.59765625" customWidth="1"/>
    <col min="8" max="8" width="10.69921875" customWidth="1"/>
    <col min="10" max="10" width="12.69921875" customWidth="1"/>
    <col min="12" max="12" width="13.69921875" customWidth="1"/>
  </cols>
  <sheetData>
    <row r="1" spans="1:12" ht="46.8" x14ac:dyDescent="0.3">
      <c r="A1" s="3" t="s">
        <v>0</v>
      </c>
      <c r="B1" s="5" t="s">
        <v>1</v>
      </c>
      <c r="C1" s="4" t="s">
        <v>2</v>
      </c>
      <c r="D1" s="6" t="s">
        <v>3</v>
      </c>
      <c r="E1" s="10" t="s">
        <v>4</v>
      </c>
      <c r="F1" s="7" t="s">
        <v>11</v>
      </c>
      <c r="G1" s="8" t="s">
        <v>12</v>
      </c>
      <c r="H1" s="9" t="s">
        <v>13</v>
      </c>
      <c r="K1" t="s">
        <v>6</v>
      </c>
      <c r="L1" t="s">
        <v>7</v>
      </c>
    </row>
    <row r="2" spans="1:12" x14ac:dyDescent="0.3">
      <c r="A2" s="11">
        <v>0</v>
      </c>
      <c r="B2" s="12">
        <v>0.29699999999999999</v>
      </c>
      <c r="C2" s="13">
        <v>0</v>
      </c>
      <c r="D2" s="15">
        <v>0</v>
      </c>
      <c r="E2" s="17">
        <f>SQRT((C2)^(2)+(D2)^(2))</f>
        <v>0</v>
      </c>
      <c r="F2" s="14">
        <f>(K2*L2*B2)</f>
        <v>6.0718798800000001E-2</v>
      </c>
      <c r="G2" s="16">
        <f>(K2*(E2)^(2))/(2)</f>
        <v>0</v>
      </c>
      <c r="H2" s="18">
        <f>(F2+G2)</f>
        <v>6.0718798800000001E-2</v>
      </c>
      <c r="J2" t="s">
        <v>8</v>
      </c>
      <c r="K2">
        <v>2.0840000000000001E-2</v>
      </c>
      <c r="L2">
        <v>9.81</v>
      </c>
    </row>
    <row r="3" spans="1:12" x14ac:dyDescent="0.3">
      <c r="A3" s="11">
        <v>1.7000000000000001E-2</v>
      </c>
      <c r="B3" s="12">
        <v>0.29699999999999999</v>
      </c>
      <c r="C3" s="13">
        <v>0.153</v>
      </c>
      <c r="D3" s="15">
        <v>0</v>
      </c>
      <c r="E3" s="17">
        <f t="shared" ref="E3:E66" si="0">SQRT((C3)^(2)+(D3)^(2))</f>
        <v>0.153</v>
      </c>
      <c r="F3" s="14">
        <f t="shared" ref="F3:F66" si="1">(K3*L3*B3)</f>
        <v>6.0718798800000001E-2</v>
      </c>
      <c r="G3" s="16">
        <f t="shared" ref="G3:G66" si="2">(K3*(E3)^(2))/(2)</f>
        <v>2.4392178E-4</v>
      </c>
      <c r="H3" s="18">
        <f>(F3+G3)</f>
        <v>6.0962720580000004E-2</v>
      </c>
      <c r="K3">
        <v>2.0840000000000001E-2</v>
      </c>
      <c r="L3">
        <v>9.81</v>
      </c>
    </row>
    <row r="4" spans="1:12" x14ac:dyDescent="0.3">
      <c r="A4" s="11">
        <v>3.3000000000000002E-2</v>
      </c>
      <c r="B4" s="12">
        <v>0.29699999999999999</v>
      </c>
      <c r="C4" s="13">
        <v>0.153</v>
      </c>
      <c r="D4" s="15">
        <v>-0.153</v>
      </c>
      <c r="E4" s="17">
        <f t="shared" si="0"/>
        <v>0.21637467504308353</v>
      </c>
      <c r="F4" s="14">
        <f t="shared" si="1"/>
        <v>6.0718798800000001E-2</v>
      </c>
      <c r="G4" s="16">
        <f t="shared" si="2"/>
        <v>4.8784355999999994E-4</v>
      </c>
      <c r="H4" s="18">
        <f t="shared" ref="H4:H67" si="3">(F4+G4)</f>
        <v>6.1206642360000001E-2</v>
      </c>
      <c r="K4">
        <v>2.0840000000000001E-2</v>
      </c>
      <c r="L4">
        <v>9.81</v>
      </c>
    </row>
    <row r="5" spans="1:12" x14ac:dyDescent="0.3">
      <c r="A5" s="11">
        <v>0.05</v>
      </c>
      <c r="B5" s="12">
        <v>0.29199999999999998</v>
      </c>
      <c r="C5" s="13">
        <v>0.38400000000000001</v>
      </c>
      <c r="D5" s="15">
        <v>-0.307</v>
      </c>
      <c r="E5" s="17">
        <f t="shared" si="0"/>
        <v>0.49163502723056662</v>
      </c>
      <c r="F5" s="14">
        <f t="shared" si="1"/>
        <v>5.9696596800000001E-2</v>
      </c>
      <c r="G5" s="16">
        <f t="shared" si="2"/>
        <v>2.5185660999999999E-3</v>
      </c>
      <c r="H5" s="18">
        <f t="shared" si="3"/>
        <v>6.2215162900000003E-2</v>
      </c>
      <c r="K5">
        <v>2.0840000000000001E-2</v>
      </c>
      <c r="L5">
        <v>9.81</v>
      </c>
    </row>
    <row r="6" spans="1:12" x14ac:dyDescent="0.3">
      <c r="A6" s="11">
        <v>6.7000000000000004E-2</v>
      </c>
      <c r="B6" s="12">
        <v>0.28599999999999998</v>
      </c>
      <c r="C6" s="13">
        <v>0.38400000000000001</v>
      </c>
      <c r="D6" s="15">
        <v>-0.307</v>
      </c>
      <c r="E6" s="17">
        <f t="shared" si="0"/>
        <v>0.49163502723056662</v>
      </c>
      <c r="F6" s="14">
        <f t="shared" si="1"/>
        <v>5.8469954400000003E-2</v>
      </c>
      <c r="G6" s="16">
        <f t="shared" si="2"/>
        <v>2.5185660999999999E-3</v>
      </c>
      <c r="H6" s="18">
        <f t="shared" si="3"/>
        <v>6.0988520500000004E-2</v>
      </c>
      <c r="K6">
        <v>2.0840000000000001E-2</v>
      </c>
      <c r="L6">
        <v>9.81</v>
      </c>
    </row>
    <row r="7" spans="1:12" x14ac:dyDescent="0.3">
      <c r="A7" s="11">
        <v>8.3000000000000004E-2</v>
      </c>
      <c r="B7" s="12">
        <v>0.28100000000000003</v>
      </c>
      <c r="C7" s="13">
        <v>0.38400000000000001</v>
      </c>
      <c r="D7" s="15">
        <v>-0.307</v>
      </c>
      <c r="E7" s="17">
        <f t="shared" si="0"/>
        <v>0.49163502723056662</v>
      </c>
      <c r="F7" s="14">
        <f t="shared" si="1"/>
        <v>5.744775240000001E-2</v>
      </c>
      <c r="G7" s="16">
        <f t="shared" si="2"/>
        <v>2.5185660999999999E-3</v>
      </c>
      <c r="H7" s="18">
        <f t="shared" si="3"/>
        <v>5.9966318500000011E-2</v>
      </c>
      <c r="K7">
        <v>2.0840000000000001E-2</v>
      </c>
      <c r="L7">
        <v>9.81</v>
      </c>
    </row>
    <row r="8" spans="1:12" x14ac:dyDescent="0.3">
      <c r="A8" s="11">
        <v>0.1</v>
      </c>
      <c r="B8" s="12">
        <v>0.27600000000000002</v>
      </c>
      <c r="C8" s="13">
        <v>0.69099999999999995</v>
      </c>
      <c r="D8" s="15">
        <v>-0.46</v>
      </c>
      <c r="E8" s="17">
        <f t="shared" si="0"/>
        <v>0.83010902898354255</v>
      </c>
      <c r="F8" s="14">
        <f t="shared" si="1"/>
        <v>5.642555040000001E-2</v>
      </c>
      <c r="G8" s="16">
        <f t="shared" si="2"/>
        <v>7.1802240199999997E-3</v>
      </c>
      <c r="H8" s="18">
        <f t="shared" si="3"/>
        <v>6.3605774420000011E-2</v>
      </c>
      <c r="K8">
        <v>2.0840000000000001E-2</v>
      </c>
      <c r="L8">
        <v>9.81</v>
      </c>
    </row>
    <row r="9" spans="1:12" x14ac:dyDescent="0.3">
      <c r="A9" s="11">
        <v>0.11700000000000001</v>
      </c>
      <c r="B9" s="12">
        <v>0.26600000000000001</v>
      </c>
      <c r="C9" s="13">
        <v>0.76700000000000002</v>
      </c>
      <c r="D9" s="15">
        <v>-0.53700000000000003</v>
      </c>
      <c r="E9" s="17">
        <f t="shared" si="0"/>
        <v>0.93630016554521667</v>
      </c>
      <c r="F9" s="14">
        <f t="shared" si="1"/>
        <v>5.4381146400000011E-2</v>
      </c>
      <c r="G9" s="16">
        <f t="shared" si="2"/>
        <v>9.1347763600000027E-3</v>
      </c>
      <c r="H9" s="18">
        <f t="shared" si="3"/>
        <v>6.351592276000001E-2</v>
      </c>
      <c r="K9">
        <v>2.0840000000000001E-2</v>
      </c>
      <c r="L9">
        <v>9.81</v>
      </c>
    </row>
    <row r="10" spans="1:12" x14ac:dyDescent="0.3">
      <c r="A10" s="11">
        <v>0.13300000000000001</v>
      </c>
      <c r="B10" s="12">
        <v>0.25800000000000001</v>
      </c>
      <c r="C10" s="13">
        <v>0.69099999999999995</v>
      </c>
      <c r="D10" s="15">
        <v>-0.61399999999999999</v>
      </c>
      <c r="E10" s="17">
        <f t="shared" si="0"/>
        <v>0.92437925117345632</v>
      </c>
      <c r="F10" s="14">
        <f t="shared" si="1"/>
        <v>5.2745623200000008E-2</v>
      </c>
      <c r="G10" s="16">
        <f t="shared" si="2"/>
        <v>8.9036503399999977E-3</v>
      </c>
      <c r="H10" s="18">
        <f t="shared" si="3"/>
        <v>6.1649273540000007E-2</v>
      </c>
      <c r="K10">
        <v>2.0840000000000001E-2</v>
      </c>
      <c r="L10">
        <v>9.81</v>
      </c>
    </row>
    <row r="11" spans="1:12" x14ac:dyDescent="0.3">
      <c r="A11" s="11">
        <v>0.15</v>
      </c>
      <c r="B11" s="12">
        <v>0.246</v>
      </c>
      <c r="C11" s="13">
        <v>0.92100000000000004</v>
      </c>
      <c r="D11" s="15">
        <v>-0.69099999999999995</v>
      </c>
      <c r="E11" s="17">
        <f t="shared" si="0"/>
        <v>1.151400017370158</v>
      </c>
      <c r="F11" s="14">
        <f t="shared" si="1"/>
        <v>5.0292338400000004E-2</v>
      </c>
      <c r="G11" s="16">
        <f t="shared" si="2"/>
        <v>1.3814023240000001E-2</v>
      </c>
      <c r="H11" s="18">
        <f t="shared" si="3"/>
        <v>6.4106361639999998E-2</v>
      </c>
      <c r="K11">
        <v>2.0840000000000001E-2</v>
      </c>
      <c r="L11">
        <v>9.81</v>
      </c>
    </row>
    <row r="12" spans="1:12" x14ac:dyDescent="0.3">
      <c r="A12" s="11">
        <v>0.16700000000000001</v>
      </c>
      <c r="B12" s="12">
        <v>0.23499999999999999</v>
      </c>
      <c r="C12" s="13">
        <v>1.0740000000000001</v>
      </c>
      <c r="D12" s="15">
        <v>-0.69099999999999995</v>
      </c>
      <c r="E12" s="17">
        <f t="shared" si="0"/>
        <v>1.2770892686104602</v>
      </c>
      <c r="F12" s="14">
        <f t="shared" si="1"/>
        <v>4.8043493999999999E-2</v>
      </c>
      <c r="G12" s="16">
        <f t="shared" si="2"/>
        <v>1.6994571940000001E-2</v>
      </c>
      <c r="H12" s="18">
        <f t="shared" si="3"/>
        <v>6.5038065940000001E-2</v>
      </c>
      <c r="K12">
        <v>2.0840000000000001E-2</v>
      </c>
      <c r="L12">
        <v>9.81</v>
      </c>
    </row>
    <row r="13" spans="1:12" x14ac:dyDescent="0.3">
      <c r="A13" s="11">
        <v>0.183</v>
      </c>
      <c r="B13" s="12">
        <v>0.223</v>
      </c>
      <c r="C13" s="13">
        <v>1.0740000000000001</v>
      </c>
      <c r="D13" s="15">
        <v>-0.76700000000000002</v>
      </c>
      <c r="E13" s="17">
        <f t="shared" si="0"/>
        <v>1.3197594477782686</v>
      </c>
      <c r="F13" s="14">
        <f t="shared" si="1"/>
        <v>4.5590209200000002E-2</v>
      </c>
      <c r="G13" s="16">
        <f t="shared" si="2"/>
        <v>1.8149191300000006E-2</v>
      </c>
      <c r="H13" s="18">
        <f t="shared" si="3"/>
        <v>6.3739400500000015E-2</v>
      </c>
      <c r="K13">
        <v>2.0840000000000001E-2</v>
      </c>
      <c r="L13">
        <v>9.81</v>
      </c>
    </row>
    <row r="14" spans="1:12" x14ac:dyDescent="0.3">
      <c r="A14" s="11">
        <v>0.2</v>
      </c>
      <c r="B14" s="12">
        <v>0.21</v>
      </c>
      <c r="C14" s="13">
        <v>1.228</v>
      </c>
      <c r="D14" s="15">
        <v>-0.92100000000000004</v>
      </c>
      <c r="E14" s="17">
        <f t="shared" si="0"/>
        <v>1.5350000000000001</v>
      </c>
      <c r="F14" s="14">
        <f t="shared" si="1"/>
        <v>4.2932484E-2</v>
      </c>
      <c r="G14" s="16">
        <f t="shared" si="2"/>
        <v>2.4551864500000003E-2</v>
      </c>
      <c r="H14" s="18">
        <f t="shared" si="3"/>
        <v>6.7484348499999999E-2</v>
      </c>
      <c r="K14">
        <v>2.0840000000000001E-2</v>
      </c>
      <c r="L14">
        <v>9.81</v>
      </c>
    </row>
    <row r="15" spans="1:12" x14ac:dyDescent="0.3">
      <c r="A15" s="11">
        <v>0.217</v>
      </c>
      <c r="B15" s="12">
        <v>0.192</v>
      </c>
      <c r="C15" s="13">
        <v>1.381</v>
      </c>
      <c r="D15" s="15">
        <v>-0.84399999999999997</v>
      </c>
      <c r="E15" s="17">
        <f t="shared" si="0"/>
        <v>1.6184860209467364</v>
      </c>
      <c r="F15" s="14">
        <f t="shared" si="1"/>
        <v>3.9252556800000005E-2</v>
      </c>
      <c r="G15" s="16">
        <f t="shared" si="2"/>
        <v>2.7295158740000002E-2</v>
      </c>
      <c r="H15" s="18">
        <f t="shared" si="3"/>
        <v>6.654771554000001E-2</v>
      </c>
      <c r="K15">
        <v>2.0840000000000001E-2</v>
      </c>
      <c r="L15">
        <v>9.81</v>
      </c>
    </row>
    <row r="16" spans="1:12" x14ac:dyDescent="0.3">
      <c r="A16" s="11">
        <v>0.23300000000000001</v>
      </c>
      <c r="B16" s="12">
        <v>0.182</v>
      </c>
      <c r="C16" s="13">
        <v>1.458</v>
      </c>
      <c r="D16" s="15">
        <v>-0.76700000000000002</v>
      </c>
      <c r="E16" s="17">
        <f t="shared" si="0"/>
        <v>1.6474383144749305</v>
      </c>
      <c r="F16" s="14">
        <f t="shared" si="1"/>
        <v>3.7208152800000005E-2</v>
      </c>
      <c r="G16" s="16">
        <f t="shared" si="2"/>
        <v>2.8280432259999998E-2</v>
      </c>
      <c r="H16" s="18">
        <f t="shared" si="3"/>
        <v>6.5488585060000007E-2</v>
      </c>
      <c r="K16">
        <v>2.0840000000000001E-2</v>
      </c>
      <c r="L16">
        <v>9.81</v>
      </c>
    </row>
    <row r="17" spans="1:12" x14ac:dyDescent="0.3">
      <c r="A17" s="11">
        <v>0.25</v>
      </c>
      <c r="B17" s="12">
        <v>0.16600000000000001</v>
      </c>
      <c r="C17" s="13">
        <v>1.611</v>
      </c>
      <c r="D17" s="15">
        <v>-0.92100000000000004</v>
      </c>
      <c r="E17" s="17">
        <f t="shared" si="0"/>
        <v>1.855683701496567</v>
      </c>
      <c r="F17" s="14">
        <f t="shared" si="1"/>
        <v>3.3937106400000007E-2</v>
      </c>
      <c r="G17" s="16">
        <f t="shared" si="2"/>
        <v>3.5881916040000003E-2</v>
      </c>
      <c r="H17" s="18">
        <f t="shared" si="3"/>
        <v>6.9819022440000017E-2</v>
      </c>
      <c r="K17">
        <v>2.0840000000000001E-2</v>
      </c>
      <c r="L17">
        <v>9.81</v>
      </c>
    </row>
    <row r="18" spans="1:12" x14ac:dyDescent="0.3">
      <c r="A18" s="11">
        <v>0.26700000000000002</v>
      </c>
      <c r="B18" s="12">
        <v>0.151</v>
      </c>
      <c r="C18" s="13">
        <v>1.611</v>
      </c>
      <c r="D18" s="15">
        <v>-0.92100000000000004</v>
      </c>
      <c r="E18" s="17">
        <f t="shared" si="0"/>
        <v>1.855683701496567</v>
      </c>
      <c r="F18" s="14">
        <f t="shared" si="1"/>
        <v>3.0870500400000004E-2</v>
      </c>
      <c r="G18" s="16">
        <f t="shared" si="2"/>
        <v>3.5881916040000003E-2</v>
      </c>
      <c r="H18" s="18">
        <f t="shared" si="3"/>
        <v>6.6752416440000004E-2</v>
      </c>
      <c r="K18">
        <v>2.0840000000000001E-2</v>
      </c>
      <c r="L18">
        <v>9.81</v>
      </c>
    </row>
    <row r="19" spans="1:12" x14ac:dyDescent="0.3">
      <c r="A19" s="11">
        <v>0.28299999999999997</v>
      </c>
      <c r="B19" s="12">
        <v>0.13600000000000001</v>
      </c>
      <c r="C19" s="13">
        <v>1.7649999999999999</v>
      </c>
      <c r="D19" s="15">
        <v>-0.92100000000000004</v>
      </c>
      <c r="E19" s="17">
        <f t="shared" si="0"/>
        <v>1.9908455490067529</v>
      </c>
      <c r="F19" s="14">
        <f t="shared" si="1"/>
        <v>2.7803894400000004E-2</v>
      </c>
      <c r="G19" s="16">
        <f t="shared" si="2"/>
        <v>4.1299315719999993E-2</v>
      </c>
      <c r="H19" s="18">
        <f t="shared" si="3"/>
        <v>6.9103210119999994E-2</v>
      </c>
      <c r="K19">
        <v>2.0840000000000001E-2</v>
      </c>
      <c r="L19">
        <v>9.81</v>
      </c>
    </row>
    <row r="20" spans="1:12" x14ac:dyDescent="0.3">
      <c r="A20" s="11">
        <v>0.3</v>
      </c>
      <c r="B20" s="12">
        <v>0.12</v>
      </c>
      <c r="C20" s="13">
        <v>1.9950000000000001</v>
      </c>
      <c r="D20" s="15">
        <v>-0.997</v>
      </c>
      <c r="E20" s="17">
        <f t="shared" si="0"/>
        <v>2.2302542455962282</v>
      </c>
      <c r="F20" s="14">
        <f t="shared" si="1"/>
        <v>2.4532848000000003E-2</v>
      </c>
      <c r="G20" s="16">
        <f t="shared" si="2"/>
        <v>5.1829434280000017E-2</v>
      </c>
      <c r="H20" s="18">
        <f t="shared" si="3"/>
        <v>7.6362282280000027E-2</v>
      </c>
      <c r="K20">
        <v>2.0840000000000001E-2</v>
      </c>
      <c r="L20">
        <v>9.81</v>
      </c>
    </row>
    <row r="21" spans="1:12" x14ac:dyDescent="0.3">
      <c r="A21" s="11">
        <v>0.317</v>
      </c>
      <c r="B21" s="12">
        <v>0.10199999999999999</v>
      </c>
      <c r="C21" s="13">
        <v>1.9179999999999999</v>
      </c>
      <c r="D21" s="15">
        <v>-0.92100000000000004</v>
      </c>
      <c r="E21" s="17">
        <f t="shared" si="0"/>
        <v>2.1276665622225677</v>
      </c>
      <c r="F21" s="14">
        <f t="shared" si="1"/>
        <v>2.0852920800000001E-2</v>
      </c>
      <c r="G21" s="16">
        <f t="shared" si="2"/>
        <v>4.7170975300000001E-2</v>
      </c>
      <c r="H21" s="18">
        <f t="shared" si="3"/>
        <v>6.8023896100000009E-2</v>
      </c>
      <c r="K21">
        <v>2.0840000000000001E-2</v>
      </c>
      <c r="L21">
        <v>9.81</v>
      </c>
    </row>
    <row r="22" spans="1:12" x14ac:dyDescent="0.3">
      <c r="A22" s="11">
        <v>0.33300000000000002</v>
      </c>
      <c r="B22" s="12">
        <v>8.9510000000000006E-2</v>
      </c>
      <c r="C22" s="13">
        <v>2.1480000000000001</v>
      </c>
      <c r="D22" s="15">
        <v>-0.76700000000000002</v>
      </c>
      <c r="E22" s="17">
        <f t="shared" si="0"/>
        <v>2.2808316465710488</v>
      </c>
      <c r="F22" s="14">
        <f t="shared" si="1"/>
        <v>1.8299460204000004E-2</v>
      </c>
      <c r="G22" s="16">
        <f t="shared" si="2"/>
        <v>5.4206851060000012E-2</v>
      </c>
      <c r="H22" s="18">
        <f t="shared" si="3"/>
        <v>7.250631126400002E-2</v>
      </c>
      <c r="K22">
        <v>2.0840000000000001E-2</v>
      </c>
      <c r="L22">
        <v>9.81</v>
      </c>
    </row>
    <row r="23" spans="1:12" x14ac:dyDescent="0.3">
      <c r="A23" s="11">
        <v>0.35</v>
      </c>
      <c r="B23" s="12">
        <v>7.6730000000000007E-2</v>
      </c>
      <c r="C23" s="13">
        <v>2.302</v>
      </c>
      <c r="D23" s="15">
        <v>-0.76700000000000002</v>
      </c>
      <c r="E23" s="17">
        <f t="shared" si="0"/>
        <v>2.4264156692537249</v>
      </c>
      <c r="F23" s="14">
        <f t="shared" si="1"/>
        <v>1.5686711892000004E-2</v>
      </c>
      <c r="G23" s="16">
        <f t="shared" si="2"/>
        <v>6.1347677060000022E-2</v>
      </c>
      <c r="H23" s="18">
        <f t="shared" si="3"/>
        <v>7.703438895200003E-2</v>
      </c>
      <c r="K23">
        <v>2.0840000000000001E-2</v>
      </c>
      <c r="L23">
        <v>9.81</v>
      </c>
    </row>
    <row r="24" spans="1:12" x14ac:dyDescent="0.3">
      <c r="A24" s="11">
        <v>0.36699999999999999</v>
      </c>
      <c r="B24" s="12">
        <v>6.3939999999999997E-2</v>
      </c>
      <c r="C24" s="13">
        <v>2.2250000000000001</v>
      </c>
      <c r="D24" s="15">
        <v>-0.76700000000000002</v>
      </c>
      <c r="E24" s="17">
        <f t="shared" si="0"/>
        <v>2.3534897492872155</v>
      </c>
      <c r="F24" s="14">
        <f t="shared" si="1"/>
        <v>1.3071919176000001E-2</v>
      </c>
      <c r="G24" s="16">
        <f t="shared" si="2"/>
        <v>5.7715483880000015E-2</v>
      </c>
      <c r="H24" s="18">
        <f t="shared" si="3"/>
        <v>7.0787403056000009E-2</v>
      </c>
      <c r="K24">
        <v>2.0840000000000001E-2</v>
      </c>
      <c r="L24">
        <v>9.81</v>
      </c>
    </row>
    <row r="25" spans="1:12" x14ac:dyDescent="0.3">
      <c r="A25" s="11">
        <v>0.38300000000000001</v>
      </c>
      <c r="B25" s="12">
        <v>5.1150000000000001E-2</v>
      </c>
      <c r="C25" s="13">
        <v>2.302</v>
      </c>
      <c r="D25" s="15">
        <v>-0.69099999999999995</v>
      </c>
      <c r="E25" s="17">
        <f t="shared" si="0"/>
        <v>2.4034735280422792</v>
      </c>
      <c r="F25" s="14">
        <f t="shared" si="1"/>
        <v>1.0457126460000001E-2</v>
      </c>
      <c r="G25" s="16">
        <f t="shared" si="2"/>
        <v>6.0193057700000011E-2</v>
      </c>
      <c r="H25" s="18">
        <f t="shared" si="3"/>
        <v>7.0650184160000018E-2</v>
      </c>
      <c r="K25">
        <v>2.0840000000000001E-2</v>
      </c>
      <c r="L25">
        <v>9.81</v>
      </c>
    </row>
    <row r="26" spans="1:12" x14ac:dyDescent="0.3">
      <c r="A26" s="11">
        <v>0.4</v>
      </c>
      <c r="B26" s="12">
        <v>4.0919999999999998E-2</v>
      </c>
      <c r="C26" s="13">
        <v>2.4550000000000001</v>
      </c>
      <c r="D26" s="15">
        <v>-0.61399999999999999</v>
      </c>
      <c r="E26" s="17">
        <f t="shared" si="0"/>
        <v>2.5306167232514687</v>
      </c>
      <c r="F26" s="14">
        <f t="shared" si="1"/>
        <v>8.3657011680000008E-3</v>
      </c>
      <c r="G26" s="16">
        <f t="shared" si="2"/>
        <v>6.6729898820000008E-2</v>
      </c>
      <c r="H26" s="18">
        <f t="shared" si="3"/>
        <v>7.5095599988000014E-2</v>
      </c>
      <c r="K26">
        <v>2.0840000000000001E-2</v>
      </c>
      <c r="L26">
        <v>9.81</v>
      </c>
    </row>
    <row r="27" spans="1:12" x14ac:dyDescent="0.3">
      <c r="A27" s="11">
        <v>0.41699999999999998</v>
      </c>
      <c r="B27" s="12">
        <v>3.0689999999999999E-2</v>
      </c>
      <c r="C27" s="13">
        <v>2.4550000000000001</v>
      </c>
      <c r="D27" s="15">
        <v>-0.53700000000000003</v>
      </c>
      <c r="E27" s="17">
        <f t="shared" si="0"/>
        <v>2.5130447668117655</v>
      </c>
      <c r="F27" s="14">
        <f t="shared" si="1"/>
        <v>6.2742758760000001E-3</v>
      </c>
      <c r="G27" s="16">
        <f t="shared" si="2"/>
        <v>6.580640548000001E-2</v>
      </c>
      <c r="H27" s="18">
        <f t="shared" si="3"/>
        <v>7.2080681356000015E-2</v>
      </c>
      <c r="K27">
        <v>2.0840000000000001E-2</v>
      </c>
      <c r="L27">
        <v>9.81</v>
      </c>
    </row>
    <row r="28" spans="1:12" x14ac:dyDescent="0.3">
      <c r="A28" s="11">
        <v>0.433</v>
      </c>
      <c r="B28" s="12">
        <v>2.3019999999999999E-2</v>
      </c>
      <c r="C28" s="13">
        <v>2.532</v>
      </c>
      <c r="D28" s="15">
        <v>-0.53700000000000003</v>
      </c>
      <c r="E28" s="17">
        <f t="shared" si="0"/>
        <v>2.5883185661738008</v>
      </c>
      <c r="F28" s="14">
        <f t="shared" si="1"/>
        <v>4.7062180080000007E-3</v>
      </c>
      <c r="G28" s="16">
        <f t="shared" si="2"/>
        <v>6.9807675060000005E-2</v>
      </c>
      <c r="H28" s="18">
        <f t="shared" si="3"/>
        <v>7.4513893068000006E-2</v>
      </c>
      <c r="K28">
        <v>2.0840000000000001E-2</v>
      </c>
      <c r="L28">
        <v>9.81</v>
      </c>
    </row>
    <row r="29" spans="1:12" x14ac:dyDescent="0.3">
      <c r="A29" s="11">
        <v>0.45</v>
      </c>
      <c r="B29" s="12">
        <v>1.2789999999999999E-2</v>
      </c>
      <c r="C29" s="13">
        <v>2.609</v>
      </c>
      <c r="D29" s="15">
        <v>-0.61399999999999999</v>
      </c>
      <c r="E29" s="17">
        <f t="shared" si="0"/>
        <v>2.6802755455363165</v>
      </c>
      <c r="F29" s="14">
        <f t="shared" si="1"/>
        <v>2.6147927160000001E-3</v>
      </c>
      <c r="G29" s="16">
        <f t="shared" si="2"/>
        <v>7.4855998339999993E-2</v>
      </c>
      <c r="H29" s="18">
        <f t="shared" si="3"/>
        <v>7.7470791055999993E-2</v>
      </c>
      <c r="K29">
        <v>2.0840000000000001E-2</v>
      </c>
      <c r="L29">
        <v>9.81</v>
      </c>
    </row>
    <row r="30" spans="1:12" x14ac:dyDescent="0.3">
      <c r="A30" s="11">
        <v>0.46700000000000003</v>
      </c>
      <c r="B30" s="12">
        <v>2.5579999999999999E-3</v>
      </c>
      <c r="C30" s="13">
        <v>2.609</v>
      </c>
      <c r="D30" s="15">
        <v>-0.61399999999999999</v>
      </c>
      <c r="E30" s="17">
        <f t="shared" si="0"/>
        <v>2.6802755455363165</v>
      </c>
      <c r="F30" s="14">
        <f t="shared" si="1"/>
        <v>5.2295854320000008E-4</v>
      </c>
      <c r="G30" s="16">
        <f t="shared" si="2"/>
        <v>7.4855998339999993E-2</v>
      </c>
      <c r="H30" s="18">
        <f t="shared" si="3"/>
        <v>7.5378956883199996E-2</v>
      </c>
      <c r="K30">
        <v>2.0840000000000001E-2</v>
      </c>
      <c r="L30">
        <v>9.81</v>
      </c>
    </row>
    <row r="31" spans="1:12" x14ac:dyDescent="0.3">
      <c r="A31" s="11">
        <v>0.48299999999999998</v>
      </c>
      <c r="B31" s="12">
        <v>-7.6730000000000001E-3</v>
      </c>
      <c r="C31" s="13">
        <v>2.609</v>
      </c>
      <c r="D31" s="15">
        <v>-0.307</v>
      </c>
      <c r="E31" s="17">
        <f t="shared" si="0"/>
        <v>2.6270001903311693</v>
      </c>
      <c r="F31" s="14">
        <f t="shared" si="1"/>
        <v>-1.5686711892000003E-3</v>
      </c>
      <c r="G31" s="16">
        <f t="shared" si="2"/>
        <v>7.190977459999999E-2</v>
      </c>
      <c r="H31" s="18" cm="1">
        <f t="array" aca="1" ref="H31" ca="1">A1:H31=(F31+G31)</f>
        <v>0</v>
      </c>
      <c r="K31">
        <v>2.0840000000000001E-2</v>
      </c>
      <c r="L31">
        <v>9.81</v>
      </c>
    </row>
    <row r="32" spans="1:12" x14ac:dyDescent="0.3">
      <c r="A32" s="11">
        <v>0.5</v>
      </c>
      <c r="B32" s="12">
        <v>-7.6730000000000001E-3</v>
      </c>
      <c r="C32" s="13">
        <v>2.6850000000000001</v>
      </c>
      <c r="D32" s="15">
        <v>7.6730000000000007E-2</v>
      </c>
      <c r="E32" s="17">
        <f t="shared" si="0"/>
        <v>2.6860961436441548</v>
      </c>
      <c r="F32" s="14">
        <f t="shared" si="1"/>
        <v>-1.5686711892000003E-3</v>
      </c>
      <c r="G32" s="16">
        <f t="shared" si="2"/>
        <v>7.5181472176018005E-2</v>
      </c>
      <c r="H32" s="18">
        <f t="shared" si="3"/>
        <v>7.3612800986818008E-2</v>
      </c>
      <c r="K32">
        <v>2.0840000000000001E-2</v>
      </c>
      <c r="L32">
        <v>9.81</v>
      </c>
    </row>
    <row r="33" spans="1:12" x14ac:dyDescent="0.3">
      <c r="A33" s="11">
        <v>0.51700000000000002</v>
      </c>
      <c r="B33" s="12">
        <v>-5.1149999999999998E-3</v>
      </c>
      <c r="C33" s="13">
        <v>2.6850000000000001</v>
      </c>
      <c r="D33" s="15">
        <v>0.23</v>
      </c>
      <c r="E33" s="17">
        <f t="shared" si="0"/>
        <v>2.694833018945701</v>
      </c>
      <c r="F33" s="14">
        <f t="shared" si="1"/>
        <v>-1.0457126460000001E-3</v>
      </c>
      <c r="G33" s="16">
        <f t="shared" si="2"/>
        <v>7.5671342500000016E-2</v>
      </c>
      <c r="H33" s="18">
        <f t="shared" si="3"/>
        <v>7.4625629854000022E-2</v>
      </c>
      <c r="K33">
        <v>2.0840000000000001E-2</v>
      </c>
      <c r="L33">
        <v>9.81</v>
      </c>
    </row>
    <row r="34" spans="1:12" x14ac:dyDescent="0.3">
      <c r="A34" s="11">
        <v>0.53300000000000003</v>
      </c>
      <c r="B34" s="12">
        <v>0</v>
      </c>
      <c r="C34" s="13">
        <v>2.609</v>
      </c>
      <c r="D34" s="15">
        <v>0.23</v>
      </c>
      <c r="E34" s="17">
        <f t="shared" si="0"/>
        <v>2.6191183631138171</v>
      </c>
      <c r="F34" s="14">
        <f t="shared" si="1"/>
        <v>0</v>
      </c>
      <c r="G34" s="16">
        <f t="shared" si="2"/>
        <v>7.1478918020000018E-2</v>
      </c>
      <c r="H34" s="18">
        <f t="shared" si="3"/>
        <v>7.1478918020000018E-2</v>
      </c>
      <c r="K34">
        <v>2.0840000000000001E-2</v>
      </c>
      <c r="L34">
        <v>9.81</v>
      </c>
    </row>
    <row r="35" spans="1:12" x14ac:dyDescent="0.3">
      <c r="A35" s="11">
        <v>0.55000000000000004</v>
      </c>
      <c r="B35" s="12">
        <v>2.5579999999999999E-3</v>
      </c>
      <c r="C35" s="13">
        <v>2.609</v>
      </c>
      <c r="D35" s="15">
        <v>0.153</v>
      </c>
      <c r="E35" s="17">
        <f t="shared" si="0"/>
        <v>2.6134823511935181</v>
      </c>
      <c r="F35" s="14">
        <f t="shared" si="1"/>
        <v>5.2295854320000008E-4</v>
      </c>
      <c r="G35" s="16">
        <f t="shared" si="2"/>
        <v>7.1171621800000001E-2</v>
      </c>
      <c r="H35" s="18">
        <f t="shared" si="3"/>
        <v>7.1694580343200004E-2</v>
      </c>
      <c r="K35">
        <v>2.0840000000000001E-2</v>
      </c>
      <c r="L35">
        <v>9.81</v>
      </c>
    </row>
    <row r="36" spans="1:12" x14ac:dyDescent="0.3">
      <c r="A36" s="11">
        <v>0.56699999999999995</v>
      </c>
      <c r="B36" s="12">
        <v>5.1149999999999998E-3</v>
      </c>
      <c r="C36" s="13">
        <v>2.532</v>
      </c>
      <c r="D36" s="15">
        <v>0.23</v>
      </c>
      <c r="E36" s="17">
        <f t="shared" si="0"/>
        <v>2.5424248268139613</v>
      </c>
      <c r="F36" s="14">
        <f t="shared" si="1"/>
        <v>1.0457126460000001E-3</v>
      </c>
      <c r="G36" s="16">
        <f t="shared" si="2"/>
        <v>6.7354088080000013E-2</v>
      </c>
      <c r="H36" s="18">
        <f t="shared" si="3"/>
        <v>6.8399800726000007E-2</v>
      </c>
      <c r="K36">
        <v>2.0840000000000001E-2</v>
      </c>
      <c r="L36">
        <v>9.81</v>
      </c>
    </row>
    <row r="37" spans="1:12" x14ac:dyDescent="0.3">
      <c r="A37" s="11">
        <v>0.58299999999999996</v>
      </c>
      <c r="B37" s="12">
        <v>1.023E-2</v>
      </c>
      <c r="C37" s="13">
        <v>2.532</v>
      </c>
      <c r="D37" s="15">
        <v>0.307</v>
      </c>
      <c r="E37" s="17">
        <f t="shared" si="0"/>
        <v>2.5505436675344337</v>
      </c>
      <c r="F37" s="14">
        <f t="shared" si="1"/>
        <v>2.0914252920000002E-3</v>
      </c>
      <c r="G37" s="16">
        <f t="shared" si="2"/>
        <v>6.7784944659999999E-2</v>
      </c>
      <c r="H37" s="18">
        <f t="shared" si="3"/>
        <v>6.9876369952E-2</v>
      </c>
      <c r="K37">
        <v>2.0840000000000001E-2</v>
      </c>
      <c r="L37">
        <v>9.81</v>
      </c>
    </row>
    <row r="38" spans="1:12" x14ac:dyDescent="0.3">
      <c r="A38" s="11">
        <v>0.6</v>
      </c>
      <c r="B38" s="12">
        <v>1.5350000000000001E-2</v>
      </c>
      <c r="C38" s="13">
        <v>2.4550000000000001</v>
      </c>
      <c r="D38" s="15">
        <v>0.61399999999999999</v>
      </c>
      <c r="E38" s="17">
        <f t="shared" si="0"/>
        <v>2.5306167232514687</v>
      </c>
      <c r="F38" s="14">
        <f t="shared" si="1"/>
        <v>3.1381601400000004E-3</v>
      </c>
      <c r="G38" s="16">
        <f t="shared" si="2"/>
        <v>6.6729898820000008E-2</v>
      </c>
      <c r="H38" s="18">
        <f t="shared" si="3"/>
        <v>6.9868058960000007E-2</v>
      </c>
      <c r="K38">
        <v>2.0840000000000001E-2</v>
      </c>
      <c r="L38">
        <v>9.81</v>
      </c>
    </row>
    <row r="39" spans="1:12" x14ac:dyDescent="0.3">
      <c r="A39" s="11">
        <v>0.61699999999999999</v>
      </c>
      <c r="B39" s="12">
        <v>3.0689999999999999E-2</v>
      </c>
      <c r="C39" s="13">
        <v>2.532</v>
      </c>
      <c r="D39" s="15">
        <v>0.61399999999999999</v>
      </c>
      <c r="E39" s="17">
        <f t="shared" si="0"/>
        <v>2.6053828893274016</v>
      </c>
      <c r="F39" s="14">
        <f t="shared" si="1"/>
        <v>6.2742758760000001E-3</v>
      </c>
      <c r="G39" s="16">
        <f t="shared" si="2"/>
        <v>7.0731168400000002E-2</v>
      </c>
      <c r="H39" s="18">
        <f t="shared" si="3"/>
        <v>7.7005444276000007E-2</v>
      </c>
      <c r="K39">
        <v>2.0840000000000001E-2</v>
      </c>
      <c r="L39">
        <v>9.81</v>
      </c>
    </row>
    <row r="40" spans="1:12" x14ac:dyDescent="0.3">
      <c r="A40" s="11">
        <v>0.63300000000000001</v>
      </c>
      <c r="B40" s="12">
        <v>3.5810000000000002E-2</v>
      </c>
      <c r="C40" s="13">
        <v>2.379</v>
      </c>
      <c r="D40" s="15">
        <v>0.46</v>
      </c>
      <c r="E40" s="17">
        <f t="shared" si="0"/>
        <v>2.4230643821409283</v>
      </c>
      <c r="F40" s="14">
        <f t="shared" si="1"/>
        <v>7.3210107240000008E-3</v>
      </c>
      <c r="G40" s="16">
        <f t="shared" si="2"/>
        <v>6.1178331219999986E-2</v>
      </c>
      <c r="H40" s="18">
        <f t="shared" si="3"/>
        <v>6.8499341943999981E-2</v>
      </c>
      <c r="K40">
        <v>2.0840000000000001E-2</v>
      </c>
      <c r="L40">
        <v>9.81</v>
      </c>
    </row>
    <row r="41" spans="1:12" x14ac:dyDescent="0.3">
      <c r="A41" s="11">
        <v>0.65</v>
      </c>
      <c r="B41" s="12">
        <v>4.6039999999999998E-2</v>
      </c>
      <c r="C41" s="13">
        <v>2.2250000000000001</v>
      </c>
      <c r="D41" s="15">
        <v>0.76700000000000002</v>
      </c>
      <c r="E41" s="17">
        <f t="shared" si="0"/>
        <v>2.3534897492872155</v>
      </c>
      <c r="F41" s="14">
        <f t="shared" si="1"/>
        <v>9.4124360160000014E-3</v>
      </c>
      <c r="G41" s="16">
        <f t="shared" si="2"/>
        <v>5.7715483880000015E-2</v>
      </c>
      <c r="H41" s="18">
        <f t="shared" si="3"/>
        <v>6.7127919896000018E-2</v>
      </c>
      <c r="K41">
        <v>2.0840000000000001E-2</v>
      </c>
      <c r="L41">
        <v>9.81</v>
      </c>
    </row>
    <row r="42" spans="1:12" x14ac:dyDescent="0.3">
      <c r="A42" s="11">
        <v>0.66700000000000004</v>
      </c>
      <c r="B42" s="12">
        <v>6.1379999999999997E-2</v>
      </c>
      <c r="C42" s="13">
        <v>2.2250000000000001</v>
      </c>
      <c r="D42" s="15">
        <v>0.92100000000000004</v>
      </c>
      <c r="E42" s="17">
        <f t="shared" si="0"/>
        <v>2.4080834703141001</v>
      </c>
      <c r="F42" s="14">
        <f t="shared" si="1"/>
        <v>1.2548551752E-2</v>
      </c>
      <c r="G42" s="16">
        <f t="shared" si="2"/>
        <v>6.0424183719999996E-2</v>
      </c>
      <c r="H42" s="18">
        <f t="shared" si="3"/>
        <v>7.2972735471999992E-2</v>
      </c>
      <c r="K42">
        <v>2.0840000000000001E-2</v>
      </c>
      <c r="L42">
        <v>9.81</v>
      </c>
    </row>
    <row r="43" spans="1:12" x14ac:dyDescent="0.3">
      <c r="A43" s="11">
        <v>0.68300000000000005</v>
      </c>
      <c r="B43" s="12">
        <v>7.6730000000000007E-2</v>
      </c>
      <c r="C43" s="13">
        <v>2.1480000000000001</v>
      </c>
      <c r="D43" s="15">
        <v>0.84399999999999997</v>
      </c>
      <c r="E43" s="17">
        <f t="shared" si="0"/>
        <v>2.3078648140651565</v>
      </c>
      <c r="F43" s="14">
        <f t="shared" si="1"/>
        <v>1.5686711892000004E-2</v>
      </c>
      <c r="G43" s="16">
        <f t="shared" si="2"/>
        <v>5.5499420799999998E-2</v>
      </c>
      <c r="H43" s="18">
        <f t="shared" si="3"/>
        <v>7.1186132691999998E-2</v>
      </c>
      <c r="K43">
        <v>2.0840000000000001E-2</v>
      </c>
      <c r="L43">
        <v>9.81</v>
      </c>
    </row>
    <row r="44" spans="1:12" x14ac:dyDescent="0.3">
      <c r="A44" s="11">
        <v>0.7</v>
      </c>
      <c r="B44" s="12">
        <v>8.9510000000000006E-2</v>
      </c>
      <c r="C44" s="13">
        <v>2.0720000000000001</v>
      </c>
      <c r="D44" s="15">
        <v>0.76700000000000002</v>
      </c>
      <c r="E44" s="17">
        <f t="shared" si="0"/>
        <v>2.2094055761674904</v>
      </c>
      <c r="F44" s="14">
        <f t="shared" si="1"/>
        <v>1.8299460204000004E-2</v>
      </c>
      <c r="G44" s="16">
        <f t="shared" si="2"/>
        <v>5.0864948660000006E-2</v>
      </c>
      <c r="H44" s="18">
        <f t="shared" si="3"/>
        <v>6.9164408864000007E-2</v>
      </c>
      <c r="K44">
        <v>2.0840000000000001E-2</v>
      </c>
      <c r="L44">
        <v>9.81</v>
      </c>
    </row>
    <row r="45" spans="1:12" x14ac:dyDescent="0.3">
      <c r="A45" s="11">
        <v>0.71699999999999997</v>
      </c>
      <c r="B45" s="12">
        <v>0.10199999999999999</v>
      </c>
      <c r="C45" s="13">
        <v>1.9950000000000001</v>
      </c>
      <c r="D45" s="15">
        <v>0.84399999999999997</v>
      </c>
      <c r="E45" s="17">
        <f t="shared" si="0"/>
        <v>2.1661858184375595</v>
      </c>
      <c r="F45" s="14">
        <f t="shared" si="1"/>
        <v>2.0852920800000001E-2</v>
      </c>
      <c r="G45" s="16">
        <f t="shared" si="2"/>
        <v>4.889440162E-2</v>
      </c>
      <c r="H45" s="18">
        <f t="shared" si="3"/>
        <v>6.9747322420000007E-2</v>
      </c>
      <c r="K45">
        <v>2.0840000000000001E-2</v>
      </c>
      <c r="L45">
        <v>9.81</v>
      </c>
    </row>
    <row r="46" spans="1:12" x14ac:dyDescent="0.3">
      <c r="A46" s="11">
        <v>0.73299999999999998</v>
      </c>
      <c r="B46" s="12">
        <v>0.11799999999999999</v>
      </c>
      <c r="C46" s="13">
        <v>1.9179999999999999</v>
      </c>
      <c r="D46" s="15">
        <v>0.92100000000000004</v>
      </c>
      <c r="E46" s="17">
        <f t="shared" si="0"/>
        <v>2.1276665622225677</v>
      </c>
      <c r="F46" s="14">
        <f t="shared" si="1"/>
        <v>2.4123967200000002E-2</v>
      </c>
      <c r="G46" s="16">
        <f t="shared" si="2"/>
        <v>4.7170975300000001E-2</v>
      </c>
      <c r="H46" s="18">
        <f t="shared" si="3"/>
        <v>7.12949425E-2</v>
      </c>
      <c r="K46">
        <v>2.0840000000000001E-2</v>
      </c>
      <c r="L46">
        <v>9.81</v>
      </c>
    </row>
    <row r="47" spans="1:12" x14ac:dyDescent="0.3">
      <c r="A47" s="11">
        <v>0.75</v>
      </c>
      <c r="B47" s="12">
        <v>0.13300000000000001</v>
      </c>
      <c r="C47" s="13">
        <v>1.6879999999999999</v>
      </c>
      <c r="D47" s="15">
        <v>0.92100000000000004</v>
      </c>
      <c r="E47" s="17">
        <f t="shared" si="0"/>
        <v>1.9229105543420371</v>
      </c>
      <c r="F47" s="14">
        <f t="shared" si="1"/>
        <v>2.7190573200000005E-2</v>
      </c>
      <c r="G47" s="16">
        <f t="shared" si="2"/>
        <v>3.85288357E-2</v>
      </c>
      <c r="H47" s="18">
        <f t="shared" si="3"/>
        <v>6.5719408899999998E-2</v>
      </c>
      <c r="K47">
        <v>2.0840000000000001E-2</v>
      </c>
      <c r="L47">
        <v>9.81</v>
      </c>
    </row>
    <row r="48" spans="1:12" x14ac:dyDescent="0.3">
      <c r="A48" s="11">
        <v>0.76700000000000002</v>
      </c>
      <c r="B48" s="12">
        <v>0.14799999999999999</v>
      </c>
      <c r="C48" s="13">
        <v>1.6879999999999999</v>
      </c>
      <c r="D48" s="15">
        <v>0.84399999999999997</v>
      </c>
      <c r="E48" s="17">
        <f t="shared" si="0"/>
        <v>1.8872413730098225</v>
      </c>
      <c r="F48" s="14">
        <f t="shared" si="1"/>
        <v>3.0257179200000001E-2</v>
      </c>
      <c r="G48" s="16">
        <f t="shared" si="2"/>
        <v>3.7112705600000004E-2</v>
      </c>
      <c r="H48" s="18">
        <f t="shared" si="3"/>
        <v>6.7369884800000002E-2</v>
      </c>
      <c r="K48">
        <v>2.0840000000000001E-2</v>
      </c>
      <c r="L48">
        <v>9.81</v>
      </c>
    </row>
    <row r="49" spans="1:12" x14ac:dyDescent="0.3">
      <c r="A49" s="11">
        <v>0.78300000000000003</v>
      </c>
      <c r="B49" s="12">
        <v>0.161</v>
      </c>
      <c r="C49" s="13">
        <v>1.5349999999999999</v>
      </c>
      <c r="D49" s="15">
        <v>0.92100000000000004</v>
      </c>
      <c r="E49" s="17">
        <f t="shared" si="0"/>
        <v>1.7901022317175073</v>
      </c>
      <c r="F49" s="14">
        <f t="shared" si="1"/>
        <v>3.2914904400000007E-2</v>
      </c>
      <c r="G49" s="16">
        <f t="shared" si="2"/>
        <v>3.3390535720000003E-2</v>
      </c>
      <c r="H49" s="18">
        <f t="shared" si="3"/>
        <v>6.6305440120000003E-2</v>
      </c>
      <c r="K49">
        <v>2.0840000000000001E-2</v>
      </c>
      <c r="L49">
        <v>9.81</v>
      </c>
    </row>
    <row r="50" spans="1:12" x14ac:dyDescent="0.3">
      <c r="A50" s="11">
        <v>0.8</v>
      </c>
      <c r="B50" s="12">
        <v>0.17899999999999999</v>
      </c>
      <c r="C50" s="13">
        <v>1.304</v>
      </c>
      <c r="D50" s="15">
        <v>0.92100000000000004</v>
      </c>
      <c r="E50" s="17">
        <f t="shared" si="0"/>
        <v>1.5964513772739839</v>
      </c>
      <c r="F50" s="14">
        <f t="shared" si="1"/>
        <v>3.6594831600000002E-2</v>
      </c>
      <c r="G50" s="16">
        <f t="shared" si="2"/>
        <v>2.655700594E-2</v>
      </c>
      <c r="H50" s="18">
        <f t="shared" si="3"/>
        <v>6.3151837540000005E-2</v>
      </c>
      <c r="K50">
        <v>2.0840000000000001E-2</v>
      </c>
      <c r="L50">
        <v>9.81</v>
      </c>
    </row>
    <row r="51" spans="1:12" x14ac:dyDescent="0.3">
      <c r="A51" s="11">
        <v>0.81699999999999995</v>
      </c>
      <c r="B51" s="12">
        <v>0.192</v>
      </c>
      <c r="C51" s="13">
        <v>1.381</v>
      </c>
      <c r="D51" s="15">
        <v>0.92100000000000004</v>
      </c>
      <c r="E51" s="17">
        <f t="shared" si="0"/>
        <v>1.6599403603744323</v>
      </c>
      <c r="F51" s="14">
        <f t="shared" si="1"/>
        <v>3.9252556800000005E-2</v>
      </c>
      <c r="G51" s="16">
        <f t="shared" si="2"/>
        <v>2.8711288840000002E-2</v>
      </c>
      <c r="H51" s="18">
        <f t="shared" si="3"/>
        <v>6.7963845640000006E-2</v>
      </c>
      <c r="K51">
        <v>2.0840000000000001E-2</v>
      </c>
      <c r="L51">
        <v>9.81</v>
      </c>
    </row>
    <row r="52" spans="1:12" x14ac:dyDescent="0.3">
      <c r="A52" s="11">
        <v>0.83299999999999996</v>
      </c>
      <c r="B52" s="12">
        <v>0.21</v>
      </c>
      <c r="C52" s="13">
        <v>1.381</v>
      </c>
      <c r="D52" s="15">
        <v>0.997</v>
      </c>
      <c r="E52" s="17">
        <f t="shared" si="0"/>
        <v>1.7032821257795199</v>
      </c>
      <c r="F52" s="14">
        <f t="shared" si="1"/>
        <v>4.2932484E-2</v>
      </c>
      <c r="G52" s="16">
        <f t="shared" si="2"/>
        <v>3.0230191400000002E-2</v>
      </c>
      <c r="H52" s="18">
        <f t="shared" si="3"/>
        <v>7.3162675400000002E-2</v>
      </c>
      <c r="K52">
        <v>2.0840000000000001E-2</v>
      </c>
      <c r="L52">
        <v>9.81</v>
      </c>
    </row>
    <row r="53" spans="1:12" x14ac:dyDescent="0.3">
      <c r="A53" s="11">
        <v>0.85</v>
      </c>
      <c r="B53" s="12">
        <v>0.22500000000000001</v>
      </c>
      <c r="C53" s="13">
        <v>1.0740000000000001</v>
      </c>
      <c r="D53" s="15">
        <v>0.61399999999999999</v>
      </c>
      <c r="E53" s="17">
        <f t="shared" si="0"/>
        <v>1.2371224676643779</v>
      </c>
      <c r="F53" s="14">
        <f t="shared" si="1"/>
        <v>4.5999090000000006E-2</v>
      </c>
      <c r="G53" s="16">
        <f t="shared" si="2"/>
        <v>1.594751824E-2</v>
      </c>
      <c r="H53" s="18">
        <f t="shared" si="3"/>
        <v>6.1946608240000006E-2</v>
      </c>
      <c r="K53">
        <v>2.0840000000000001E-2</v>
      </c>
      <c r="L53">
        <v>9.81</v>
      </c>
    </row>
    <row r="54" spans="1:12" x14ac:dyDescent="0.3">
      <c r="A54" s="11">
        <v>0.86699999999999999</v>
      </c>
      <c r="B54" s="12">
        <v>0.23</v>
      </c>
      <c r="C54" s="13">
        <v>0.76700000000000002</v>
      </c>
      <c r="D54" s="15">
        <v>0.46</v>
      </c>
      <c r="E54" s="17">
        <f t="shared" si="0"/>
        <v>0.89436513796100081</v>
      </c>
      <c r="F54" s="14">
        <f t="shared" si="1"/>
        <v>4.7021292000000006E-2</v>
      </c>
      <c r="G54" s="16">
        <f t="shared" si="2"/>
        <v>8.33484338E-3</v>
      </c>
      <c r="H54" s="18">
        <f t="shared" si="3"/>
        <v>5.5356135380000004E-2</v>
      </c>
      <c r="K54">
        <v>2.0840000000000001E-2</v>
      </c>
      <c r="L54">
        <v>9.81</v>
      </c>
    </row>
    <row r="55" spans="1:12" x14ac:dyDescent="0.3">
      <c r="A55" s="11">
        <v>0.88300000000000001</v>
      </c>
      <c r="B55" s="12">
        <v>0.24</v>
      </c>
      <c r="C55" s="13">
        <v>0.84399999999999997</v>
      </c>
      <c r="D55" s="15">
        <v>0.84399999999999997</v>
      </c>
      <c r="E55" s="17">
        <f t="shared" si="0"/>
        <v>1.1935962466428922</v>
      </c>
      <c r="F55" s="14">
        <f t="shared" si="1"/>
        <v>4.9065696000000006E-2</v>
      </c>
      <c r="G55" s="16">
        <f t="shared" si="2"/>
        <v>1.484508224E-2</v>
      </c>
      <c r="H55" s="18">
        <f t="shared" si="3"/>
        <v>6.3910778240000007E-2</v>
      </c>
      <c r="K55">
        <v>2.0840000000000001E-2</v>
      </c>
      <c r="L55">
        <v>9.81</v>
      </c>
    </row>
    <row r="56" spans="1:12" x14ac:dyDescent="0.3">
      <c r="A56" s="11">
        <v>0.9</v>
      </c>
      <c r="B56" s="12">
        <v>0.25800000000000001</v>
      </c>
      <c r="C56" s="13">
        <v>0.76700000000000002</v>
      </c>
      <c r="D56" s="15">
        <v>0.76700000000000002</v>
      </c>
      <c r="E56" s="17">
        <f t="shared" si="0"/>
        <v>1.084701802340164</v>
      </c>
      <c r="F56" s="14">
        <f t="shared" si="1"/>
        <v>5.2745623200000008E-2</v>
      </c>
      <c r="G56" s="16">
        <f t="shared" si="2"/>
        <v>1.2259942760000002E-2</v>
      </c>
      <c r="H56" s="18">
        <f t="shared" si="3"/>
        <v>6.5005565960000011E-2</v>
      </c>
      <c r="K56">
        <v>2.0840000000000001E-2</v>
      </c>
      <c r="L56">
        <v>9.81</v>
      </c>
    </row>
    <row r="57" spans="1:12" x14ac:dyDescent="0.3">
      <c r="A57" s="11">
        <v>0.91700000000000004</v>
      </c>
      <c r="B57" s="12">
        <v>0.26600000000000001</v>
      </c>
      <c r="C57" s="13">
        <v>0.61399999999999999</v>
      </c>
      <c r="D57" s="15">
        <v>0.23</v>
      </c>
      <c r="E57" s="17">
        <f t="shared" si="0"/>
        <v>0.65566454837820842</v>
      </c>
      <c r="F57" s="14">
        <f t="shared" si="1"/>
        <v>5.4381146400000011E-2</v>
      </c>
      <c r="G57" s="16">
        <f t="shared" si="2"/>
        <v>4.4795163199999998E-3</v>
      </c>
      <c r="H57" s="18">
        <f t="shared" si="3"/>
        <v>5.8860662720000012E-2</v>
      </c>
      <c r="K57">
        <v>2.0840000000000001E-2</v>
      </c>
      <c r="L57">
        <v>9.81</v>
      </c>
    </row>
    <row r="58" spans="1:12" x14ac:dyDescent="0.3">
      <c r="A58" s="11">
        <v>0.93300000000000005</v>
      </c>
      <c r="B58" s="12">
        <v>0.26600000000000001</v>
      </c>
      <c r="C58" s="13">
        <v>0.53700000000000003</v>
      </c>
      <c r="D58" s="15">
        <v>0.307</v>
      </c>
      <c r="E58" s="17">
        <f t="shared" si="0"/>
        <v>0.61856123383218897</v>
      </c>
      <c r="F58" s="14">
        <f t="shared" si="1"/>
        <v>5.4381146400000011E-2</v>
      </c>
      <c r="G58" s="16">
        <f t="shared" si="2"/>
        <v>3.98687956E-3</v>
      </c>
      <c r="H58" s="18">
        <f t="shared" si="3"/>
        <v>5.8368025960000014E-2</v>
      </c>
      <c r="K58">
        <v>2.0840000000000001E-2</v>
      </c>
      <c r="L58">
        <v>9.81</v>
      </c>
    </row>
    <row r="59" spans="1:12" x14ac:dyDescent="0.3">
      <c r="A59" s="11">
        <v>0.95</v>
      </c>
      <c r="B59" s="12">
        <v>0.27600000000000002</v>
      </c>
      <c r="C59" s="13">
        <v>0.46</v>
      </c>
      <c r="D59" s="15">
        <v>0.38400000000000001</v>
      </c>
      <c r="E59" s="17">
        <f t="shared" si="0"/>
        <v>0.59921281695237461</v>
      </c>
      <c r="F59" s="14">
        <f t="shared" si="1"/>
        <v>5.642555040000001E-2</v>
      </c>
      <c r="G59" s="16">
        <f t="shared" si="2"/>
        <v>3.7413635199999998E-3</v>
      </c>
      <c r="H59" s="18">
        <f t="shared" si="3"/>
        <v>6.0166913920000009E-2</v>
      </c>
      <c r="K59">
        <v>2.0840000000000001E-2</v>
      </c>
      <c r="L59">
        <v>9.81</v>
      </c>
    </row>
    <row r="60" spans="1:12" x14ac:dyDescent="0.3">
      <c r="A60" s="11">
        <v>0.96699999999999997</v>
      </c>
      <c r="B60" s="12">
        <v>0.27900000000000003</v>
      </c>
      <c r="C60" s="13">
        <v>0.307</v>
      </c>
      <c r="D60" s="15">
        <v>0.23</v>
      </c>
      <c r="E60" s="17">
        <f t="shared" si="0"/>
        <v>0.38360005213763981</v>
      </c>
      <c r="F60" s="14">
        <f t="shared" si="1"/>
        <v>5.7038871600000013E-2</v>
      </c>
      <c r="G60" s="16">
        <f t="shared" si="2"/>
        <v>1.5332925799999998E-3</v>
      </c>
      <c r="H60" s="18">
        <f t="shared" si="3"/>
        <v>5.8572164180000011E-2</v>
      </c>
      <c r="K60">
        <v>2.0840000000000001E-2</v>
      </c>
      <c r="L60">
        <v>9.81</v>
      </c>
    </row>
    <row r="61" spans="1:12" x14ac:dyDescent="0.3">
      <c r="A61" s="11">
        <v>0.98299999999999998</v>
      </c>
      <c r="B61" s="12">
        <v>0.28399999999999997</v>
      </c>
      <c r="C61" s="13">
        <v>7.6730000000000007E-2</v>
      </c>
      <c r="D61" s="15">
        <v>0.153</v>
      </c>
      <c r="E61" s="17">
        <f t="shared" si="0"/>
        <v>0.17116218303118244</v>
      </c>
      <c r="F61" s="14">
        <f t="shared" si="1"/>
        <v>5.8061073599999999E-2</v>
      </c>
      <c r="G61" s="16">
        <f t="shared" si="2"/>
        <v>3.0526945601799999E-4</v>
      </c>
      <c r="H61" s="18">
        <f t="shared" si="3"/>
        <v>5.8366343056017997E-2</v>
      </c>
      <c r="K61">
        <v>2.0840000000000001E-2</v>
      </c>
      <c r="L61">
        <v>9.81</v>
      </c>
    </row>
    <row r="62" spans="1:12" x14ac:dyDescent="0.3">
      <c r="A62" s="11">
        <v>1</v>
      </c>
      <c r="B62" s="12">
        <v>0.28399999999999997</v>
      </c>
      <c r="C62" s="13">
        <v>0.153</v>
      </c>
      <c r="D62" s="15">
        <v>-7.6730000000000007E-2</v>
      </c>
      <c r="E62" s="17">
        <f t="shared" si="0"/>
        <v>0.17116218303118244</v>
      </c>
      <c r="F62" s="14">
        <f t="shared" si="1"/>
        <v>5.8061073599999999E-2</v>
      </c>
      <c r="G62" s="16">
        <f t="shared" si="2"/>
        <v>3.0526945601799999E-4</v>
      </c>
      <c r="H62" s="18">
        <f t="shared" si="3"/>
        <v>5.8366343056017997E-2</v>
      </c>
      <c r="K62">
        <v>2.0840000000000001E-2</v>
      </c>
      <c r="L62">
        <v>9.81</v>
      </c>
    </row>
    <row r="63" spans="1:12" x14ac:dyDescent="0.3">
      <c r="A63" s="11">
        <v>1.0169999999999999</v>
      </c>
      <c r="B63" s="12">
        <v>0.28100000000000003</v>
      </c>
      <c r="C63" s="13">
        <v>7.6730000000000007E-2</v>
      </c>
      <c r="D63" s="15">
        <v>0</v>
      </c>
      <c r="E63" s="17">
        <f t="shared" si="0"/>
        <v>7.6730000000000007E-2</v>
      </c>
      <c r="F63" s="14">
        <f t="shared" si="1"/>
        <v>5.744775240000001E-2</v>
      </c>
      <c r="G63" s="16">
        <f t="shared" si="2"/>
        <v>6.1347676018000009E-5</v>
      </c>
      <c r="H63" s="18">
        <f t="shared" si="3"/>
        <v>5.7509100076018012E-2</v>
      </c>
      <c r="K63">
        <v>2.0840000000000001E-2</v>
      </c>
      <c r="L63">
        <v>9.81</v>
      </c>
    </row>
    <row r="64" spans="1:12" x14ac:dyDescent="0.3">
      <c r="A64" s="11">
        <v>1.0329999999999999</v>
      </c>
      <c r="B64" s="12">
        <v>0.28399999999999997</v>
      </c>
      <c r="C64" s="13">
        <v>-0.23</v>
      </c>
      <c r="D64" s="15">
        <v>0</v>
      </c>
      <c r="E64" s="17">
        <f t="shared" si="0"/>
        <v>0.23</v>
      </c>
      <c r="F64" s="14">
        <f t="shared" si="1"/>
        <v>5.8061073599999999E-2</v>
      </c>
      <c r="G64" s="16">
        <f t="shared" si="2"/>
        <v>5.5121800000000002E-4</v>
      </c>
      <c r="H64" s="18">
        <f t="shared" si="3"/>
        <v>5.8612291599999998E-2</v>
      </c>
      <c r="K64">
        <v>2.0840000000000001E-2</v>
      </c>
      <c r="L64">
        <v>9.81</v>
      </c>
    </row>
    <row r="65" spans="1:12" x14ac:dyDescent="0.3">
      <c r="A65" s="11">
        <v>1.05</v>
      </c>
      <c r="B65" s="12">
        <v>0.28100000000000003</v>
      </c>
      <c r="C65" s="13">
        <v>-0.153</v>
      </c>
      <c r="D65" s="15">
        <v>-0.23</v>
      </c>
      <c r="E65" s="17">
        <f t="shared" si="0"/>
        <v>0.27624083695210599</v>
      </c>
      <c r="F65" s="14">
        <f t="shared" si="1"/>
        <v>5.744775240000001E-2</v>
      </c>
      <c r="G65" s="16">
        <f t="shared" si="2"/>
        <v>7.9513978000000018E-4</v>
      </c>
      <c r="H65" s="18">
        <f t="shared" si="3"/>
        <v>5.8242892180000012E-2</v>
      </c>
      <c r="K65">
        <v>2.0840000000000001E-2</v>
      </c>
      <c r="L65">
        <v>9.81</v>
      </c>
    </row>
    <row r="66" spans="1:12" x14ac:dyDescent="0.3">
      <c r="A66" s="11">
        <v>1.0669999999999999</v>
      </c>
      <c r="B66" s="12">
        <v>0.27600000000000002</v>
      </c>
      <c r="C66" s="13">
        <v>-0.23</v>
      </c>
      <c r="D66" s="15">
        <v>-0.153</v>
      </c>
      <c r="E66" s="17">
        <f t="shared" si="0"/>
        <v>0.27624083695210599</v>
      </c>
      <c r="F66" s="14">
        <f t="shared" si="1"/>
        <v>5.642555040000001E-2</v>
      </c>
      <c r="G66" s="16">
        <f t="shared" si="2"/>
        <v>7.9513978000000018E-4</v>
      </c>
      <c r="H66" s="18">
        <f t="shared" si="3"/>
        <v>5.7220690180000013E-2</v>
      </c>
      <c r="K66">
        <v>2.0840000000000001E-2</v>
      </c>
      <c r="L66">
        <v>9.81</v>
      </c>
    </row>
    <row r="67" spans="1:12" x14ac:dyDescent="0.3">
      <c r="A67" s="11">
        <v>1.083</v>
      </c>
      <c r="B67" s="12">
        <v>0.27600000000000002</v>
      </c>
      <c r="C67" s="13">
        <v>-0.307</v>
      </c>
      <c r="D67" s="15">
        <v>-0.307</v>
      </c>
      <c r="E67" s="17">
        <f t="shared" ref="E67:E130" si="4">SQRT((C67)^(2)+(D67)^(2))</f>
        <v>0.4341635636485402</v>
      </c>
      <c r="F67" s="14">
        <f t="shared" ref="F67:F130" si="5">(K67*L67*B67)</f>
        <v>5.642555040000001E-2</v>
      </c>
      <c r="G67" s="16">
        <f t="shared" ref="G67:G130" si="6">(K67*(E67)^(2))/(2)</f>
        <v>1.9641491600000003E-3</v>
      </c>
      <c r="H67" s="18">
        <f t="shared" si="3"/>
        <v>5.8389699560000008E-2</v>
      </c>
      <c r="K67">
        <v>2.0840000000000001E-2</v>
      </c>
      <c r="L67">
        <v>9.81</v>
      </c>
    </row>
    <row r="68" spans="1:12" x14ac:dyDescent="0.3">
      <c r="A68" s="11">
        <v>1.1000000000000001</v>
      </c>
      <c r="B68" s="12">
        <v>0.26600000000000001</v>
      </c>
      <c r="C68" s="13">
        <v>-0.38400000000000001</v>
      </c>
      <c r="D68" s="15">
        <v>-0.53700000000000003</v>
      </c>
      <c r="E68" s="17">
        <f t="shared" si="4"/>
        <v>0.66017043253996166</v>
      </c>
      <c r="F68" s="14">
        <f t="shared" si="5"/>
        <v>5.4381146400000011E-2</v>
      </c>
      <c r="G68" s="16">
        <f t="shared" si="6"/>
        <v>4.5412965000000008E-3</v>
      </c>
      <c r="H68" s="18">
        <f t="shared" ref="H68:H131" si="7">(F68+G68)</f>
        <v>5.8922442900000011E-2</v>
      </c>
      <c r="K68">
        <v>2.0840000000000001E-2</v>
      </c>
      <c r="L68">
        <v>9.81</v>
      </c>
    </row>
    <row r="69" spans="1:12" x14ac:dyDescent="0.3">
      <c r="A69" s="11">
        <v>1.117</v>
      </c>
      <c r="B69" s="12">
        <v>0.25800000000000001</v>
      </c>
      <c r="C69" s="13">
        <v>-0.69099999999999995</v>
      </c>
      <c r="D69" s="15">
        <v>-0.46</v>
      </c>
      <c r="E69" s="17">
        <f t="shared" si="4"/>
        <v>0.83010902898354255</v>
      </c>
      <c r="F69" s="14">
        <f t="shared" si="5"/>
        <v>5.2745623200000008E-2</v>
      </c>
      <c r="G69" s="16">
        <f t="shared" si="6"/>
        <v>7.1802240199999997E-3</v>
      </c>
      <c r="H69" s="18">
        <f t="shared" si="7"/>
        <v>5.9925847220000009E-2</v>
      </c>
      <c r="K69">
        <v>2.0840000000000001E-2</v>
      </c>
      <c r="L69">
        <v>9.81</v>
      </c>
    </row>
    <row r="70" spans="1:12" x14ac:dyDescent="0.3">
      <c r="A70" s="11">
        <v>1.133</v>
      </c>
      <c r="B70" s="12">
        <v>0.251</v>
      </c>
      <c r="C70" s="13">
        <v>-0.76700000000000002</v>
      </c>
      <c r="D70" s="15">
        <v>-0.61399999999999999</v>
      </c>
      <c r="E70" s="17">
        <f t="shared" si="4"/>
        <v>0.98248918569111998</v>
      </c>
      <c r="F70" s="14">
        <f t="shared" si="5"/>
        <v>5.1314540400000004E-2</v>
      </c>
      <c r="G70" s="16">
        <f t="shared" si="6"/>
        <v>1.0058269700000001E-2</v>
      </c>
      <c r="H70" s="18">
        <f t="shared" si="7"/>
        <v>6.1372810100000008E-2</v>
      </c>
      <c r="K70">
        <v>2.0840000000000001E-2</v>
      </c>
      <c r="L70">
        <v>9.81</v>
      </c>
    </row>
    <row r="71" spans="1:12" x14ac:dyDescent="0.3">
      <c r="A71" s="11">
        <v>1.1499999999999999</v>
      </c>
      <c r="B71" s="12">
        <v>0.23799999999999999</v>
      </c>
      <c r="C71" s="13">
        <v>-0.997</v>
      </c>
      <c r="D71" s="15">
        <v>-0.76700000000000002</v>
      </c>
      <c r="E71" s="17">
        <f t="shared" si="4"/>
        <v>1.2578942721866573</v>
      </c>
      <c r="F71" s="14">
        <f t="shared" si="5"/>
        <v>4.8656815200000002E-2</v>
      </c>
      <c r="G71" s="16">
        <f t="shared" si="6"/>
        <v>1.6487545160000002E-2</v>
      </c>
      <c r="H71" s="18">
        <f t="shared" si="7"/>
        <v>6.514436036E-2</v>
      </c>
      <c r="K71">
        <v>2.0840000000000001E-2</v>
      </c>
      <c r="L71">
        <v>9.81</v>
      </c>
    </row>
    <row r="72" spans="1:12" x14ac:dyDescent="0.3">
      <c r="A72" s="11">
        <v>1.167</v>
      </c>
      <c r="B72" s="12">
        <v>0.22500000000000001</v>
      </c>
      <c r="C72" s="13">
        <v>-0.92100000000000004</v>
      </c>
      <c r="D72" s="15">
        <v>-0.76700000000000002</v>
      </c>
      <c r="E72" s="17">
        <f t="shared" si="4"/>
        <v>1.1985532946014541</v>
      </c>
      <c r="F72" s="14">
        <f t="shared" si="5"/>
        <v>4.5999090000000006E-2</v>
      </c>
      <c r="G72" s="16">
        <f t="shared" si="6"/>
        <v>1.4968642600000002E-2</v>
      </c>
      <c r="H72" s="18">
        <f t="shared" si="7"/>
        <v>6.0967732600000005E-2</v>
      </c>
      <c r="K72">
        <v>2.0840000000000001E-2</v>
      </c>
      <c r="L72">
        <v>9.81</v>
      </c>
    </row>
    <row r="73" spans="1:12" x14ac:dyDescent="0.3">
      <c r="A73" s="11">
        <v>1.1830000000000001</v>
      </c>
      <c r="B73" s="12">
        <v>0.21199999999999999</v>
      </c>
      <c r="C73" s="13">
        <v>-0.997</v>
      </c>
      <c r="D73" s="15">
        <v>-0.69099999999999995</v>
      </c>
      <c r="E73" s="17">
        <f t="shared" si="4"/>
        <v>1.213049875314284</v>
      </c>
      <c r="F73" s="14">
        <f t="shared" si="5"/>
        <v>4.3341364800000004E-2</v>
      </c>
      <c r="G73" s="16">
        <f t="shared" si="6"/>
        <v>1.5332925800000001E-2</v>
      </c>
      <c r="H73" s="18">
        <f t="shared" si="7"/>
        <v>5.8674290600000005E-2</v>
      </c>
      <c r="K73">
        <v>2.0840000000000001E-2</v>
      </c>
      <c r="L73">
        <v>9.81</v>
      </c>
    </row>
    <row r="74" spans="1:12" x14ac:dyDescent="0.3">
      <c r="A74" s="11">
        <v>1.2</v>
      </c>
      <c r="B74" s="12">
        <v>0.20200000000000001</v>
      </c>
      <c r="C74" s="13">
        <v>-1.304</v>
      </c>
      <c r="D74" s="15">
        <v>-0.76700000000000002</v>
      </c>
      <c r="E74" s="17">
        <f t="shared" si="4"/>
        <v>1.5128466544894761</v>
      </c>
      <c r="F74" s="14">
        <f t="shared" si="5"/>
        <v>4.1296960800000004E-2</v>
      </c>
      <c r="G74" s="16">
        <f t="shared" si="6"/>
        <v>2.3848306100000004E-2</v>
      </c>
      <c r="H74" s="18">
        <f t="shared" si="7"/>
        <v>6.5145266900000012E-2</v>
      </c>
      <c r="K74">
        <v>2.0840000000000001E-2</v>
      </c>
      <c r="L74">
        <v>9.81</v>
      </c>
    </row>
    <row r="75" spans="1:12" x14ac:dyDescent="0.3">
      <c r="A75" s="11">
        <v>1.2170000000000001</v>
      </c>
      <c r="B75" s="12">
        <v>0.187</v>
      </c>
      <c r="C75" s="13">
        <v>-1.304</v>
      </c>
      <c r="D75" s="15">
        <v>-0.92100000000000004</v>
      </c>
      <c r="E75" s="17">
        <f t="shared" si="4"/>
        <v>1.5964513772739839</v>
      </c>
      <c r="F75" s="14">
        <f t="shared" si="5"/>
        <v>3.8230354800000005E-2</v>
      </c>
      <c r="G75" s="16">
        <f t="shared" si="6"/>
        <v>2.655700594E-2</v>
      </c>
      <c r="H75" s="18">
        <f t="shared" si="7"/>
        <v>6.4787360740000008E-2</v>
      </c>
      <c r="K75">
        <v>2.0840000000000001E-2</v>
      </c>
      <c r="L75">
        <v>9.81</v>
      </c>
    </row>
    <row r="76" spans="1:12" x14ac:dyDescent="0.3">
      <c r="A76" s="11">
        <v>1.2330000000000001</v>
      </c>
      <c r="B76" s="12">
        <v>0.17100000000000001</v>
      </c>
      <c r="C76" s="13">
        <v>-1.381</v>
      </c>
      <c r="D76" s="15">
        <v>-0.92100000000000004</v>
      </c>
      <c r="E76" s="17">
        <f t="shared" si="4"/>
        <v>1.6599403603744323</v>
      </c>
      <c r="F76" s="14">
        <f t="shared" si="5"/>
        <v>3.4959308400000007E-2</v>
      </c>
      <c r="G76" s="16">
        <f t="shared" si="6"/>
        <v>2.8711288840000002E-2</v>
      </c>
      <c r="H76" s="18">
        <f t="shared" si="7"/>
        <v>6.3670597240000015E-2</v>
      </c>
      <c r="K76">
        <v>2.0840000000000001E-2</v>
      </c>
      <c r="L76">
        <v>9.81</v>
      </c>
    </row>
    <row r="77" spans="1:12" x14ac:dyDescent="0.3">
      <c r="A77" s="11">
        <v>1.25</v>
      </c>
      <c r="B77" s="12">
        <v>0.156</v>
      </c>
      <c r="C77" s="13">
        <v>-1.458</v>
      </c>
      <c r="D77" s="15">
        <v>-0.997</v>
      </c>
      <c r="E77" s="17">
        <f t="shared" si="4"/>
        <v>1.766287915375067</v>
      </c>
      <c r="F77" s="14">
        <f t="shared" si="5"/>
        <v>3.18927024E-2</v>
      </c>
      <c r="G77" s="16">
        <f t="shared" si="6"/>
        <v>3.2508034659999997E-2</v>
      </c>
      <c r="H77" s="18">
        <f t="shared" si="7"/>
        <v>6.4400737059999991E-2</v>
      </c>
      <c r="K77">
        <v>2.0840000000000001E-2</v>
      </c>
      <c r="L77">
        <v>9.81</v>
      </c>
    </row>
    <row r="78" spans="1:12" x14ac:dyDescent="0.3">
      <c r="A78" s="11">
        <v>1.2669999999999999</v>
      </c>
      <c r="B78" s="12">
        <v>0.13800000000000001</v>
      </c>
      <c r="C78" s="13">
        <v>-1.7649999999999999</v>
      </c>
      <c r="D78" s="15">
        <v>-0.92100000000000004</v>
      </c>
      <c r="E78" s="17">
        <f t="shared" si="4"/>
        <v>1.9908455490067529</v>
      </c>
      <c r="F78" s="14">
        <f t="shared" si="5"/>
        <v>2.8212775200000005E-2</v>
      </c>
      <c r="G78" s="16">
        <f t="shared" si="6"/>
        <v>4.1299315719999993E-2</v>
      </c>
      <c r="H78" s="18">
        <f t="shared" si="7"/>
        <v>6.9512090919999991E-2</v>
      </c>
      <c r="K78">
        <v>2.0840000000000001E-2</v>
      </c>
      <c r="L78">
        <v>9.81</v>
      </c>
    </row>
    <row r="79" spans="1:12" x14ac:dyDescent="0.3">
      <c r="A79" s="11">
        <v>1.2829999999999999</v>
      </c>
      <c r="B79" s="12">
        <v>0.125</v>
      </c>
      <c r="C79" s="13">
        <v>-1.841</v>
      </c>
      <c r="D79" s="15">
        <v>-0.76700000000000002</v>
      </c>
      <c r="E79" s="17">
        <f t="shared" si="4"/>
        <v>1.9943846168680703</v>
      </c>
      <c r="F79" s="14">
        <f t="shared" si="5"/>
        <v>2.5555050000000003E-2</v>
      </c>
      <c r="G79" s="16">
        <f t="shared" si="6"/>
        <v>4.1446279400000001E-2</v>
      </c>
      <c r="H79" s="18">
        <f t="shared" si="7"/>
        <v>6.7001329400000004E-2</v>
      </c>
      <c r="K79">
        <v>2.0840000000000001E-2</v>
      </c>
      <c r="L79">
        <v>9.81</v>
      </c>
    </row>
    <row r="80" spans="1:12" x14ac:dyDescent="0.3">
      <c r="A80" s="11">
        <v>1.3</v>
      </c>
      <c r="B80" s="12">
        <v>0.113</v>
      </c>
      <c r="C80" s="13">
        <v>-1.7649999999999999</v>
      </c>
      <c r="D80" s="15">
        <v>-0.92100000000000004</v>
      </c>
      <c r="E80" s="17">
        <f t="shared" si="4"/>
        <v>1.9908455490067529</v>
      </c>
      <c r="F80" s="14">
        <f t="shared" si="5"/>
        <v>2.3101765200000002E-2</v>
      </c>
      <c r="G80" s="16">
        <f t="shared" si="6"/>
        <v>4.1299315719999993E-2</v>
      </c>
      <c r="H80" s="18">
        <f t="shared" si="7"/>
        <v>6.4401080919999992E-2</v>
      </c>
      <c r="K80">
        <v>2.0840000000000001E-2</v>
      </c>
      <c r="L80">
        <v>9.81</v>
      </c>
    </row>
    <row r="81" spans="1:12" x14ac:dyDescent="0.3">
      <c r="A81" s="11">
        <v>1.3169999999999999</v>
      </c>
      <c r="B81" s="12">
        <v>9.4630000000000006E-2</v>
      </c>
      <c r="C81" s="13">
        <v>-2.0720000000000001</v>
      </c>
      <c r="D81" s="15">
        <v>-0.92100000000000004</v>
      </c>
      <c r="E81" s="17">
        <f t="shared" si="4"/>
        <v>2.2674710582496966</v>
      </c>
      <c r="F81" s="14">
        <f t="shared" si="5"/>
        <v>1.9346195052000002E-2</v>
      </c>
      <c r="G81" s="16">
        <f t="shared" si="6"/>
        <v>5.3573648499999994E-2</v>
      </c>
      <c r="H81" s="18">
        <f t="shared" si="7"/>
        <v>7.2919843551999999E-2</v>
      </c>
      <c r="K81">
        <v>2.0840000000000001E-2</v>
      </c>
      <c r="L81">
        <v>9.81</v>
      </c>
    </row>
    <row r="82" spans="1:12" x14ac:dyDescent="0.3">
      <c r="A82" s="11">
        <v>1.333</v>
      </c>
      <c r="B82" s="12">
        <v>8.1839999999999996E-2</v>
      </c>
      <c r="C82" s="13">
        <v>-2.1480000000000001</v>
      </c>
      <c r="D82" s="15">
        <v>-0.69099999999999995</v>
      </c>
      <c r="E82" s="17">
        <f t="shared" si="4"/>
        <v>2.2564097588868917</v>
      </c>
      <c r="F82" s="14">
        <f t="shared" si="5"/>
        <v>1.6731402336000002E-2</v>
      </c>
      <c r="G82" s="16">
        <f t="shared" si="6"/>
        <v>5.3052231700000008E-2</v>
      </c>
      <c r="H82" s="18">
        <f t="shared" si="7"/>
        <v>6.9783634036000006E-2</v>
      </c>
      <c r="K82">
        <v>2.0840000000000001E-2</v>
      </c>
      <c r="L82">
        <v>9.81</v>
      </c>
    </row>
    <row r="83" spans="1:12" x14ac:dyDescent="0.3">
      <c r="A83" s="11">
        <v>1.35</v>
      </c>
      <c r="B83" s="12">
        <v>7.1609999999999993E-2</v>
      </c>
      <c r="C83" s="13">
        <v>-1.9950000000000001</v>
      </c>
      <c r="D83" s="15">
        <v>-0.997</v>
      </c>
      <c r="E83" s="17">
        <f t="shared" si="4"/>
        <v>2.2302542455962282</v>
      </c>
      <c r="F83" s="14">
        <f t="shared" si="5"/>
        <v>1.4639977044E-2</v>
      </c>
      <c r="G83" s="16">
        <f t="shared" si="6"/>
        <v>5.1829434280000017E-2</v>
      </c>
      <c r="H83" s="18">
        <f t="shared" si="7"/>
        <v>6.6469411324000013E-2</v>
      </c>
      <c r="K83">
        <v>2.0840000000000001E-2</v>
      </c>
      <c r="L83">
        <v>9.81</v>
      </c>
    </row>
    <row r="84" spans="1:12" x14ac:dyDescent="0.3">
      <c r="A84" s="11">
        <v>1.367</v>
      </c>
      <c r="B84" s="12">
        <v>4.8590000000000001E-2</v>
      </c>
      <c r="C84" s="13">
        <v>-2.379</v>
      </c>
      <c r="D84" s="15">
        <v>-0.997</v>
      </c>
      <c r="E84" s="17">
        <f t="shared" si="4"/>
        <v>2.5794669992073942</v>
      </c>
      <c r="F84" s="14">
        <f t="shared" si="5"/>
        <v>9.9337590360000019E-3</v>
      </c>
      <c r="G84" s="16">
        <f t="shared" si="6"/>
        <v>6.9331032999999986E-2</v>
      </c>
      <c r="H84" s="18">
        <f t="shared" si="7"/>
        <v>7.9264792035999981E-2</v>
      </c>
      <c r="K84">
        <v>2.0840000000000001E-2</v>
      </c>
      <c r="L84">
        <v>9.81</v>
      </c>
    </row>
    <row r="85" spans="1:12" x14ac:dyDescent="0.3">
      <c r="A85" s="11">
        <v>1.383</v>
      </c>
      <c r="B85" s="12">
        <v>3.8359999999999998E-2</v>
      </c>
      <c r="C85" s="13">
        <v>-2.4550000000000001</v>
      </c>
      <c r="D85" s="15">
        <v>-0.61399999999999999</v>
      </c>
      <c r="E85" s="17">
        <f t="shared" si="4"/>
        <v>2.5306167232514687</v>
      </c>
      <c r="F85" s="14">
        <f t="shared" si="5"/>
        <v>7.8423337440000004E-3</v>
      </c>
      <c r="G85" s="16">
        <f t="shared" si="6"/>
        <v>6.6729898820000008E-2</v>
      </c>
      <c r="H85" s="18">
        <f t="shared" si="7"/>
        <v>7.4572232564000002E-2</v>
      </c>
      <c r="K85">
        <v>2.0840000000000001E-2</v>
      </c>
      <c r="L85">
        <v>9.81</v>
      </c>
    </row>
    <row r="86" spans="1:12" x14ac:dyDescent="0.3">
      <c r="A86" s="11">
        <v>1.4</v>
      </c>
      <c r="B86" s="12">
        <v>2.8129999999999999E-2</v>
      </c>
      <c r="C86" s="13">
        <v>-2.1480000000000001</v>
      </c>
      <c r="D86" s="15">
        <v>-0.61399999999999999</v>
      </c>
      <c r="E86" s="17">
        <f t="shared" si="4"/>
        <v>2.2340322289528416</v>
      </c>
      <c r="F86" s="14">
        <f t="shared" si="5"/>
        <v>5.7509084520000007E-3</v>
      </c>
      <c r="G86" s="16">
        <f t="shared" si="6"/>
        <v>5.200517800000002E-2</v>
      </c>
      <c r="H86" s="18">
        <f t="shared" si="7"/>
        <v>5.7756086452000019E-2</v>
      </c>
      <c r="K86">
        <v>2.0840000000000001E-2</v>
      </c>
      <c r="L86">
        <v>9.81</v>
      </c>
    </row>
    <row r="87" spans="1:12" x14ac:dyDescent="0.3">
      <c r="A87" s="11">
        <v>1.417</v>
      </c>
      <c r="B87" s="12">
        <v>1.7899999999999999E-2</v>
      </c>
      <c r="C87" s="13">
        <v>-2.4550000000000001</v>
      </c>
      <c r="D87" s="15">
        <v>-0.69099999999999995</v>
      </c>
      <c r="E87" s="17">
        <f t="shared" si="4"/>
        <v>2.5503933030024997</v>
      </c>
      <c r="F87" s="14">
        <f t="shared" si="5"/>
        <v>3.6594831600000001E-3</v>
      </c>
      <c r="G87" s="16">
        <f t="shared" si="6"/>
        <v>6.7776952520000003E-2</v>
      </c>
      <c r="H87" s="18">
        <f t="shared" si="7"/>
        <v>7.1436435680000007E-2</v>
      </c>
      <c r="K87">
        <v>2.0840000000000001E-2</v>
      </c>
      <c r="L87">
        <v>9.81</v>
      </c>
    </row>
    <row r="88" spans="1:12" x14ac:dyDescent="0.3">
      <c r="A88" s="11">
        <v>1.4330000000000001</v>
      </c>
      <c r="B88" s="12">
        <v>5.1149999999999998E-3</v>
      </c>
      <c r="C88" s="13">
        <v>-2.532</v>
      </c>
      <c r="D88" s="15">
        <v>-0.38400000000000001</v>
      </c>
      <c r="E88" s="17">
        <f t="shared" si="4"/>
        <v>2.5609529476349229</v>
      </c>
      <c r="F88" s="14">
        <f t="shared" si="5"/>
        <v>1.0457126460000001E-3</v>
      </c>
      <c r="G88" s="16">
        <f t="shared" si="6"/>
        <v>6.8339361600000009E-2</v>
      </c>
      <c r="H88" s="18">
        <f t="shared" si="7"/>
        <v>6.9385074246000003E-2</v>
      </c>
      <c r="K88">
        <v>2.0840000000000001E-2</v>
      </c>
      <c r="L88">
        <v>9.81</v>
      </c>
    </row>
    <row r="89" spans="1:12" x14ac:dyDescent="0.3">
      <c r="A89" s="11">
        <v>1.45</v>
      </c>
      <c r="B89" s="12">
        <v>5.1149999999999998E-3</v>
      </c>
      <c r="C89" s="13">
        <v>-2.762</v>
      </c>
      <c r="D89" s="15">
        <v>-0.23</v>
      </c>
      <c r="E89" s="17">
        <f t="shared" si="4"/>
        <v>2.7715598496153753</v>
      </c>
      <c r="F89" s="14">
        <f t="shared" si="5"/>
        <v>1.0457126460000001E-3</v>
      </c>
      <c r="G89" s="16">
        <f t="shared" si="6"/>
        <v>8.0041688480000026E-2</v>
      </c>
      <c r="H89" s="18">
        <f t="shared" si="7"/>
        <v>8.1087401126000019E-2</v>
      </c>
      <c r="K89">
        <v>2.0840000000000001E-2</v>
      </c>
      <c r="L89">
        <v>9.81</v>
      </c>
    </row>
    <row r="90" spans="1:12" x14ac:dyDescent="0.3">
      <c r="A90" s="11">
        <v>1.4670000000000001</v>
      </c>
      <c r="B90" s="12">
        <v>-2.5579999999999999E-3</v>
      </c>
      <c r="C90" s="13">
        <v>-2.839</v>
      </c>
      <c r="D90" s="15">
        <v>-0.38400000000000001</v>
      </c>
      <c r="E90" s="17">
        <f t="shared" si="4"/>
        <v>2.864852003158278</v>
      </c>
      <c r="F90" s="14">
        <f t="shared" si="5"/>
        <v>-5.2295854320000008E-4</v>
      </c>
      <c r="G90" s="16">
        <f t="shared" si="6"/>
        <v>8.5520868339999973E-2</v>
      </c>
      <c r="H90" s="18">
        <f t="shared" si="7"/>
        <v>8.499790979679997E-2</v>
      </c>
      <c r="K90">
        <v>2.0840000000000001E-2</v>
      </c>
      <c r="L90">
        <v>9.81</v>
      </c>
    </row>
    <row r="91" spans="1:12" x14ac:dyDescent="0.3">
      <c r="A91" s="11">
        <v>1.4830000000000001</v>
      </c>
      <c r="B91" s="12">
        <v>-7.6730000000000001E-3</v>
      </c>
      <c r="C91" s="13">
        <v>-2.532</v>
      </c>
      <c r="D91" s="15">
        <v>-0.307</v>
      </c>
      <c r="E91" s="17">
        <f t="shared" si="4"/>
        <v>2.5505436675344337</v>
      </c>
      <c r="F91" s="14">
        <f t="shared" si="5"/>
        <v>-1.5686711892000003E-3</v>
      </c>
      <c r="G91" s="16">
        <f t="shared" si="6"/>
        <v>6.7784944659999999E-2</v>
      </c>
      <c r="H91" s="18">
        <f t="shared" si="7"/>
        <v>6.6216273470800002E-2</v>
      </c>
      <c r="K91">
        <v>2.0840000000000001E-2</v>
      </c>
      <c r="L91">
        <v>9.81</v>
      </c>
    </row>
    <row r="92" spans="1:12" x14ac:dyDescent="0.3">
      <c r="A92" s="11">
        <v>1.5</v>
      </c>
      <c r="B92" s="12">
        <v>-1.2789999999999999E-2</v>
      </c>
      <c r="C92" s="13">
        <v>-2.609</v>
      </c>
      <c r="D92" s="15">
        <v>-0.153</v>
      </c>
      <c r="E92" s="17">
        <f t="shared" si="4"/>
        <v>2.6134823511935181</v>
      </c>
      <c r="F92" s="14">
        <f t="shared" si="5"/>
        <v>-2.6147927160000001E-3</v>
      </c>
      <c r="G92" s="16">
        <f t="shared" si="6"/>
        <v>7.1171621800000001E-2</v>
      </c>
      <c r="H92" s="18">
        <f t="shared" si="7"/>
        <v>6.8556829084000001E-2</v>
      </c>
      <c r="K92">
        <v>2.0840000000000001E-2</v>
      </c>
      <c r="L92">
        <v>9.81</v>
      </c>
    </row>
    <row r="93" spans="1:12" x14ac:dyDescent="0.3">
      <c r="A93" s="11">
        <v>1.5169999999999999</v>
      </c>
      <c r="B93" s="12">
        <v>-1.2789999999999999E-2</v>
      </c>
      <c r="C93" s="13">
        <v>-2.609</v>
      </c>
      <c r="D93" s="15">
        <v>7.6730000000000007E-2</v>
      </c>
      <c r="E93" s="17">
        <f t="shared" si="4"/>
        <v>2.6101280606322748</v>
      </c>
      <c r="F93" s="14">
        <f t="shared" si="5"/>
        <v>-2.6147927160000001E-3</v>
      </c>
      <c r="G93" s="16">
        <f t="shared" si="6"/>
        <v>7.0989047696018007E-2</v>
      </c>
      <c r="H93" s="18">
        <f t="shared" si="7"/>
        <v>6.8374254980018007E-2</v>
      </c>
      <c r="K93">
        <v>2.0840000000000001E-2</v>
      </c>
      <c r="L93">
        <v>9.81</v>
      </c>
    </row>
    <row r="94" spans="1:12" x14ac:dyDescent="0.3">
      <c r="A94" s="11">
        <v>1.5329999999999999</v>
      </c>
      <c r="B94" s="12">
        <v>-1.023E-2</v>
      </c>
      <c r="C94" s="13">
        <v>-2.6850000000000001</v>
      </c>
      <c r="D94" s="15">
        <v>-7.6730000000000007E-2</v>
      </c>
      <c r="E94" s="17">
        <f t="shared" si="4"/>
        <v>2.6860961436441548</v>
      </c>
      <c r="F94" s="14">
        <f t="shared" si="5"/>
        <v>-2.0914252920000002E-3</v>
      </c>
      <c r="G94" s="16">
        <f t="shared" si="6"/>
        <v>7.5181472176018005E-2</v>
      </c>
      <c r="H94" s="18">
        <f t="shared" si="7"/>
        <v>7.3090046884018003E-2</v>
      </c>
      <c r="K94">
        <v>2.0840000000000001E-2</v>
      </c>
      <c r="L94">
        <v>9.81</v>
      </c>
    </row>
    <row r="95" spans="1:12" x14ac:dyDescent="0.3">
      <c r="A95" s="11">
        <v>1.55</v>
      </c>
      <c r="B95" s="12">
        <v>-1.5350000000000001E-2</v>
      </c>
      <c r="C95" s="13">
        <v>-2.762</v>
      </c>
      <c r="D95" s="15">
        <v>0.153</v>
      </c>
      <c r="E95" s="17">
        <f t="shared" si="4"/>
        <v>2.766234444149664</v>
      </c>
      <c r="F95" s="14">
        <f t="shared" si="5"/>
        <v>-3.1381601400000004E-3</v>
      </c>
      <c r="G95" s="16">
        <f t="shared" si="6"/>
        <v>7.9734392260000009E-2</v>
      </c>
      <c r="H95" s="18">
        <f t="shared" si="7"/>
        <v>7.659623212000001E-2</v>
      </c>
      <c r="K95">
        <v>2.0840000000000001E-2</v>
      </c>
      <c r="L95">
        <v>9.81</v>
      </c>
    </row>
    <row r="96" spans="1:12" x14ac:dyDescent="0.3">
      <c r="A96" s="11">
        <v>1.5669999999999999</v>
      </c>
      <c r="B96" s="12">
        <v>-5.1149999999999998E-3</v>
      </c>
      <c r="C96" s="13">
        <v>-2.532</v>
      </c>
      <c r="D96" s="15">
        <v>0.38400000000000001</v>
      </c>
      <c r="E96" s="17">
        <f t="shared" si="4"/>
        <v>2.5609529476349229</v>
      </c>
      <c r="F96" s="14">
        <f t="shared" si="5"/>
        <v>-1.0457126460000001E-3</v>
      </c>
      <c r="G96" s="16">
        <f t="shared" si="6"/>
        <v>6.8339361600000009E-2</v>
      </c>
      <c r="H96" s="18">
        <f t="shared" si="7"/>
        <v>6.7293648954000015E-2</v>
      </c>
      <c r="K96">
        <v>2.0840000000000001E-2</v>
      </c>
      <c r="L96">
        <v>9.81</v>
      </c>
    </row>
    <row r="97" spans="1:12" x14ac:dyDescent="0.3">
      <c r="A97" s="11">
        <v>1.583</v>
      </c>
      <c r="B97" s="12">
        <v>-2.5579999999999999E-3</v>
      </c>
      <c r="C97" s="13">
        <v>-2.609</v>
      </c>
      <c r="D97" s="15">
        <v>0.307</v>
      </c>
      <c r="E97" s="17">
        <f t="shared" si="4"/>
        <v>2.6270001903311693</v>
      </c>
      <c r="F97" s="14">
        <f t="shared" si="5"/>
        <v>-5.2295854320000008E-4</v>
      </c>
      <c r="G97" s="16">
        <f t="shared" si="6"/>
        <v>7.190977459999999E-2</v>
      </c>
      <c r="H97" s="18">
        <f t="shared" si="7"/>
        <v>7.1386816056799987E-2</v>
      </c>
      <c r="K97">
        <v>2.0840000000000001E-2</v>
      </c>
      <c r="L97">
        <v>9.81</v>
      </c>
    </row>
    <row r="98" spans="1:12" x14ac:dyDescent="0.3">
      <c r="A98" s="11">
        <v>1.6</v>
      </c>
      <c r="B98" s="12">
        <v>5.1149999999999998E-3</v>
      </c>
      <c r="C98" s="13">
        <v>-2.609</v>
      </c>
      <c r="D98" s="15">
        <v>0.46</v>
      </c>
      <c r="E98" s="17">
        <f t="shared" si="4"/>
        <v>2.6492415895874801</v>
      </c>
      <c r="F98" s="14">
        <f t="shared" si="5"/>
        <v>1.0457126460000001E-3</v>
      </c>
      <c r="G98" s="16">
        <f t="shared" si="6"/>
        <v>7.3132572019999995E-2</v>
      </c>
      <c r="H98" s="18">
        <f t="shared" si="7"/>
        <v>7.4178284665999988E-2</v>
      </c>
      <c r="K98">
        <v>2.0840000000000001E-2</v>
      </c>
      <c r="L98">
        <v>9.81</v>
      </c>
    </row>
    <row r="99" spans="1:12" x14ac:dyDescent="0.3">
      <c r="A99" s="11">
        <v>1.617</v>
      </c>
      <c r="B99" s="12">
        <v>1.2789999999999999E-2</v>
      </c>
      <c r="C99" s="13">
        <v>-2.379</v>
      </c>
      <c r="D99" s="15">
        <v>0.46</v>
      </c>
      <c r="E99" s="17">
        <f t="shared" si="4"/>
        <v>2.4230643821409283</v>
      </c>
      <c r="F99" s="14">
        <f t="shared" si="5"/>
        <v>2.6147927160000001E-3</v>
      </c>
      <c r="G99" s="16">
        <f t="shared" si="6"/>
        <v>6.1178331219999986E-2</v>
      </c>
      <c r="H99" s="18">
        <f t="shared" si="7"/>
        <v>6.3793123935999979E-2</v>
      </c>
      <c r="K99">
        <v>2.0840000000000001E-2</v>
      </c>
      <c r="L99">
        <v>9.81</v>
      </c>
    </row>
    <row r="100" spans="1:12" x14ac:dyDescent="0.3">
      <c r="A100" s="11">
        <v>1.633</v>
      </c>
      <c r="B100" s="12">
        <v>2.0459999999999999E-2</v>
      </c>
      <c r="C100" s="13">
        <v>-2.379</v>
      </c>
      <c r="D100" s="15">
        <v>0.69099999999999995</v>
      </c>
      <c r="E100" s="17">
        <f t="shared" si="4"/>
        <v>2.4773215374674318</v>
      </c>
      <c r="F100" s="14">
        <f t="shared" si="5"/>
        <v>4.1828505840000004E-3</v>
      </c>
      <c r="G100" s="16">
        <f t="shared" si="6"/>
        <v>6.394881124E-2</v>
      </c>
      <c r="H100" s="18">
        <f t="shared" si="7"/>
        <v>6.8131661824000003E-2</v>
      </c>
      <c r="K100">
        <v>2.0840000000000001E-2</v>
      </c>
      <c r="L100">
        <v>9.81</v>
      </c>
    </row>
    <row r="101" spans="1:12" x14ac:dyDescent="0.3">
      <c r="A101" s="11">
        <v>1.65</v>
      </c>
      <c r="B101" s="12">
        <v>3.5810000000000002E-2</v>
      </c>
      <c r="C101" s="13">
        <v>-2.2250000000000001</v>
      </c>
      <c r="D101" s="15">
        <v>0.69099999999999995</v>
      </c>
      <c r="E101" s="17">
        <f t="shared" si="4"/>
        <v>2.3298296075035188</v>
      </c>
      <c r="F101" s="14">
        <f t="shared" si="5"/>
        <v>7.3210107240000008E-3</v>
      </c>
      <c r="G101" s="16">
        <f t="shared" si="6"/>
        <v>5.6560864520000011E-2</v>
      </c>
      <c r="H101" s="18">
        <f t="shared" si="7"/>
        <v>6.3881875244000005E-2</v>
      </c>
      <c r="K101">
        <v>2.0840000000000001E-2</v>
      </c>
      <c r="L101">
        <v>9.81</v>
      </c>
    </row>
    <row r="102" spans="1:12" x14ac:dyDescent="0.3">
      <c r="A102" s="11">
        <v>1.667</v>
      </c>
      <c r="B102" s="12">
        <v>4.3479999999999998E-2</v>
      </c>
      <c r="C102" s="13">
        <v>-2.302</v>
      </c>
      <c r="D102" s="15">
        <v>0.61399999999999999</v>
      </c>
      <c r="E102" s="17">
        <f t="shared" si="4"/>
        <v>2.3824777018893588</v>
      </c>
      <c r="F102" s="14">
        <f t="shared" si="5"/>
        <v>8.8890685920000011E-3</v>
      </c>
      <c r="G102" s="16">
        <f t="shared" si="6"/>
        <v>5.9146004000000009E-2</v>
      </c>
      <c r="H102" s="18">
        <f t="shared" si="7"/>
        <v>6.8035072592000007E-2</v>
      </c>
      <c r="K102">
        <v>2.0840000000000001E-2</v>
      </c>
      <c r="L102">
        <v>9.81</v>
      </c>
    </row>
    <row r="103" spans="1:12" x14ac:dyDescent="0.3">
      <c r="A103" s="11">
        <v>1.6830000000000001</v>
      </c>
      <c r="B103" s="12">
        <v>5.6270000000000001E-2</v>
      </c>
      <c r="C103" s="13">
        <v>-2.1480000000000001</v>
      </c>
      <c r="D103" s="15">
        <v>0.84399999999999997</v>
      </c>
      <c r="E103" s="17">
        <f t="shared" si="4"/>
        <v>2.3078648140651565</v>
      </c>
      <c r="F103" s="14">
        <f t="shared" si="5"/>
        <v>1.1503861308000001E-2</v>
      </c>
      <c r="G103" s="16">
        <f t="shared" si="6"/>
        <v>5.5499420799999998E-2</v>
      </c>
      <c r="H103" s="18">
        <f t="shared" si="7"/>
        <v>6.7003282107999995E-2</v>
      </c>
      <c r="K103">
        <v>2.0840000000000001E-2</v>
      </c>
      <c r="L103">
        <v>9.81</v>
      </c>
    </row>
    <row r="104" spans="1:12" x14ac:dyDescent="0.3">
      <c r="A104" s="11">
        <v>1.7</v>
      </c>
      <c r="B104" s="12">
        <v>7.1609999999999993E-2</v>
      </c>
      <c r="C104" s="13">
        <v>-1.9179999999999999</v>
      </c>
      <c r="D104" s="15">
        <v>0.997</v>
      </c>
      <c r="E104" s="17">
        <f t="shared" si="4"/>
        <v>2.161650526796596</v>
      </c>
      <c r="F104" s="14">
        <f t="shared" si="5"/>
        <v>1.4639977044E-2</v>
      </c>
      <c r="G104" s="16">
        <f t="shared" si="6"/>
        <v>4.8689877860000008E-2</v>
      </c>
      <c r="H104" s="18">
        <f t="shared" si="7"/>
        <v>6.3329854904000005E-2</v>
      </c>
      <c r="K104">
        <v>2.0840000000000001E-2</v>
      </c>
      <c r="L104">
        <v>9.81</v>
      </c>
    </row>
    <row r="105" spans="1:12" x14ac:dyDescent="0.3">
      <c r="A105" s="11">
        <v>1.7170000000000001</v>
      </c>
      <c r="B105" s="12">
        <v>8.9510000000000006E-2</v>
      </c>
      <c r="C105" s="13">
        <v>-2.0720000000000001</v>
      </c>
      <c r="D105" s="15">
        <v>0.997</v>
      </c>
      <c r="E105" s="17">
        <f t="shared" si="4"/>
        <v>2.2993897016382414</v>
      </c>
      <c r="F105" s="14">
        <f t="shared" si="5"/>
        <v>1.8299460204000004E-2</v>
      </c>
      <c r="G105" s="16">
        <f t="shared" si="6"/>
        <v>5.5092551060000015E-2</v>
      </c>
      <c r="H105" s="18">
        <f t="shared" si="7"/>
        <v>7.3392011264000023E-2</v>
      </c>
      <c r="K105">
        <v>2.0840000000000001E-2</v>
      </c>
      <c r="L105">
        <v>9.81</v>
      </c>
    </row>
    <row r="106" spans="1:12" x14ac:dyDescent="0.3">
      <c r="A106" s="11">
        <v>1.7330000000000001</v>
      </c>
      <c r="B106" s="12">
        <v>0.105</v>
      </c>
      <c r="C106" s="13">
        <v>-1.9179999999999999</v>
      </c>
      <c r="D106" s="15">
        <v>0.84399999999999997</v>
      </c>
      <c r="E106" s="17">
        <f t="shared" si="4"/>
        <v>2.0954856239067832</v>
      </c>
      <c r="F106" s="14">
        <f t="shared" si="5"/>
        <v>2.1466242E-2</v>
      </c>
      <c r="G106" s="16">
        <f t="shared" si="6"/>
        <v>4.5754845200000005E-2</v>
      </c>
      <c r="H106" s="18">
        <f t="shared" si="7"/>
        <v>6.7221087200000001E-2</v>
      </c>
      <c r="K106">
        <v>2.0840000000000001E-2</v>
      </c>
      <c r="L106">
        <v>9.81</v>
      </c>
    </row>
    <row r="107" spans="1:12" x14ac:dyDescent="0.3">
      <c r="A107" s="11">
        <v>1.75</v>
      </c>
      <c r="B107" s="12">
        <v>0.11799999999999999</v>
      </c>
      <c r="C107" s="13">
        <v>-1.6879999999999999</v>
      </c>
      <c r="D107" s="15">
        <v>0.84399999999999997</v>
      </c>
      <c r="E107" s="17">
        <f t="shared" si="4"/>
        <v>1.8872413730098225</v>
      </c>
      <c r="F107" s="14">
        <f t="shared" si="5"/>
        <v>2.4123967200000002E-2</v>
      </c>
      <c r="G107" s="16">
        <f t="shared" si="6"/>
        <v>3.7112705600000004E-2</v>
      </c>
      <c r="H107" s="18">
        <f t="shared" si="7"/>
        <v>6.1236672800000003E-2</v>
      </c>
      <c r="K107">
        <v>2.0840000000000001E-2</v>
      </c>
      <c r="L107">
        <v>9.81</v>
      </c>
    </row>
    <row r="108" spans="1:12" x14ac:dyDescent="0.3">
      <c r="A108" s="11">
        <v>1.7669999999999999</v>
      </c>
      <c r="B108" s="12">
        <v>0.13300000000000001</v>
      </c>
      <c r="C108" s="13">
        <v>-1.611</v>
      </c>
      <c r="D108" s="15">
        <v>0.997</v>
      </c>
      <c r="E108" s="17">
        <f t="shared" si="4"/>
        <v>1.8945527176618759</v>
      </c>
      <c r="F108" s="14">
        <f t="shared" si="5"/>
        <v>2.7190573200000005E-2</v>
      </c>
      <c r="G108" s="16">
        <f t="shared" si="6"/>
        <v>3.7400818600000003E-2</v>
      </c>
      <c r="H108" s="18">
        <f t="shared" si="7"/>
        <v>6.4591391800000009E-2</v>
      </c>
      <c r="K108">
        <v>2.0840000000000001E-2</v>
      </c>
      <c r="L108">
        <v>9.81</v>
      </c>
    </row>
    <row r="109" spans="1:12" x14ac:dyDescent="0.3">
      <c r="A109" s="11">
        <v>1.7829999999999999</v>
      </c>
      <c r="B109" s="12">
        <v>0.151</v>
      </c>
      <c r="C109" s="13">
        <v>-1.381</v>
      </c>
      <c r="D109" s="15">
        <v>0.84399999999999997</v>
      </c>
      <c r="E109" s="17">
        <f t="shared" si="4"/>
        <v>1.6184860209467364</v>
      </c>
      <c r="F109" s="14">
        <f t="shared" si="5"/>
        <v>3.0870500400000004E-2</v>
      </c>
      <c r="G109" s="16">
        <f t="shared" si="6"/>
        <v>2.7295158740000002E-2</v>
      </c>
      <c r="H109" s="18">
        <f t="shared" si="7"/>
        <v>5.8165659140000006E-2</v>
      </c>
      <c r="K109">
        <v>2.0840000000000001E-2</v>
      </c>
      <c r="L109">
        <v>9.81</v>
      </c>
    </row>
    <row r="110" spans="1:12" x14ac:dyDescent="0.3">
      <c r="A110" s="11">
        <v>1.8</v>
      </c>
      <c r="B110" s="12">
        <v>0.161</v>
      </c>
      <c r="C110" s="13">
        <v>-1.228</v>
      </c>
      <c r="D110" s="15">
        <v>0.53700000000000003</v>
      </c>
      <c r="E110" s="17">
        <f t="shared" si="4"/>
        <v>1.3402809406986282</v>
      </c>
      <c r="F110" s="14">
        <f t="shared" si="5"/>
        <v>3.2914904400000007E-2</v>
      </c>
      <c r="G110" s="16">
        <f t="shared" si="6"/>
        <v>1.871799826E-2</v>
      </c>
      <c r="H110" s="18">
        <f t="shared" si="7"/>
        <v>5.1632902660000007E-2</v>
      </c>
      <c r="K110">
        <v>2.0840000000000001E-2</v>
      </c>
      <c r="L110">
        <v>9.81</v>
      </c>
    </row>
    <row r="111" spans="1:12" x14ac:dyDescent="0.3">
      <c r="A111" s="11">
        <v>1.8169999999999999</v>
      </c>
      <c r="B111" s="12">
        <v>0.16900000000000001</v>
      </c>
      <c r="C111" s="13">
        <v>-1.304</v>
      </c>
      <c r="D111" s="15">
        <v>0.84399999999999997</v>
      </c>
      <c r="E111" s="17">
        <f t="shared" si="4"/>
        <v>1.5533035762528844</v>
      </c>
      <c r="F111" s="14">
        <f t="shared" si="5"/>
        <v>3.4550427600000003E-2</v>
      </c>
      <c r="G111" s="16">
        <f t="shared" si="6"/>
        <v>2.5140875840000004E-2</v>
      </c>
      <c r="H111" s="18">
        <f t="shared" si="7"/>
        <v>5.969130344000001E-2</v>
      </c>
      <c r="K111">
        <v>2.0840000000000001E-2</v>
      </c>
      <c r="L111">
        <v>9.81</v>
      </c>
    </row>
    <row r="112" spans="1:12" x14ac:dyDescent="0.3">
      <c r="A112" s="11">
        <v>1.833</v>
      </c>
      <c r="B112" s="12">
        <v>0.189</v>
      </c>
      <c r="C112" s="13">
        <v>-1.151</v>
      </c>
      <c r="D112" s="15">
        <v>1.0740000000000001</v>
      </c>
      <c r="E112" s="17">
        <f t="shared" si="4"/>
        <v>1.5742544267049086</v>
      </c>
      <c r="F112" s="14">
        <f t="shared" si="5"/>
        <v>3.8639235600000002E-2</v>
      </c>
      <c r="G112" s="16">
        <f t="shared" si="6"/>
        <v>2.5823646340000003E-2</v>
      </c>
      <c r="H112" s="18">
        <f t="shared" si="7"/>
        <v>6.4462881940000008E-2</v>
      </c>
      <c r="K112">
        <v>2.0840000000000001E-2</v>
      </c>
      <c r="L112">
        <v>9.81</v>
      </c>
    </row>
    <row r="113" spans="1:12" x14ac:dyDescent="0.3">
      <c r="A113" s="11">
        <v>1.85</v>
      </c>
      <c r="B113" s="12">
        <v>0.20499999999999999</v>
      </c>
      <c r="C113" s="13">
        <v>-0.92100000000000004</v>
      </c>
      <c r="D113" s="15">
        <v>0.69099999999999995</v>
      </c>
      <c r="E113" s="17">
        <f t="shared" si="4"/>
        <v>1.151400017370158</v>
      </c>
      <c r="F113" s="14">
        <f t="shared" si="5"/>
        <v>4.1910282E-2</v>
      </c>
      <c r="G113" s="16">
        <f t="shared" si="6"/>
        <v>1.3814023240000001E-2</v>
      </c>
      <c r="H113" s="18">
        <f t="shared" si="7"/>
        <v>5.5724305240000001E-2</v>
      </c>
      <c r="K113">
        <v>2.0840000000000001E-2</v>
      </c>
      <c r="L113">
        <v>9.81</v>
      </c>
    </row>
    <row r="114" spans="1:12" x14ac:dyDescent="0.3">
      <c r="A114" s="11">
        <v>1.867</v>
      </c>
      <c r="B114" s="12">
        <v>0.21199999999999999</v>
      </c>
      <c r="C114" s="13">
        <v>-0.84399999999999997</v>
      </c>
      <c r="D114" s="15">
        <v>0.53700000000000003</v>
      </c>
      <c r="E114" s="17">
        <f t="shared" si="4"/>
        <v>1.0003524378937656</v>
      </c>
      <c r="F114" s="14">
        <f t="shared" si="5"/>
        <v>4.3341364800000004E-2</v>
      </c>
      <c r="G114" s="16">
        <f t="shared" si="6"/>
        <v>1.0427346100000002E-2</v>
      </c>
      <c r="H114" s="18">
        <f t="shared" si="7"/>
        <v>5.3768710900000002E-2</v>
      </c>
      <c r="K114">
        <v>2.0840000000000001E-2</v>
      </c>
      <c r="L114">
        <v>9.81</v>
      </c>
    </row>
    <row r="115" spans="1:12" x14ac:dyDescent="0.3">
      <c r="A115" s="11">
        <v>1.883</v>
      </c>
      <c r="B115" s="12">
        <v>0.223</v>
      </c>
      <c r="C115" s="13">
        <v>-0.84399999999999997</v>
      </c>
      <c r="D115" s="15">
        <v>0.76700000000000002</v>
      </c>
      <c r="E115" s="17">
        <f t="shared" si="4"/>
        <v>1.1404494727957044</v>
      </c>
      <c r="F115" s="14">
        <f t="shared" si="5"/>
        <v>4.5590209200000002E-2</v>
      </c>
      <c r="G115" s="16">
        <f t="shared" si="6"/>
        <v>1.3552512500000002E-2</v>
      </c>
      <c r="H115" s="18">
        <f t="shared" si="7"/>
        <v>5.9142721700000005E-2</v>
      </c>
      <c r="K115">
        <v>2.0840000000000001E-2</v>
      </c>
      <c r="L115">
        <v>9.81</v>
      </c>
    </row>
    <row r="116" spans="1:12" x14ac:dyDescent="0.3">
      <c r="A116" s="11">
        <v>1.9</v>
      </c>
      <c r="B116" s="12">
        <v>0.23799999999999999</v>
      </c>
      <c r="C116" s="13">
        <v>-0.69099999999999995</v>
      </c>
      <c r="D116" s="15">
        <v>0.69099999999999995</v>
      </c>
      <c r="E116" s="17">
        <f t="shared" si="4"/>
        <v>0.9772215715998086</v>
      </c>
      <c r="F116" s="14">
        <f t="shared" si="5"/>
        <v>4.8656815200000002E-2</v>
      </c>
      <c r="G116" s="16">
        <f t="shared" si="6"/>
        <v>9.9507040399999993E-3</v>
      </c>
      <c r="H116" s="18">
        <f t="shared" si="7"/>
        <v>5.8607519240000003E-2</v>
      </c>
      <c r="K116">
        <v>2.0840000000000001E-2</v>
      </c>
      <c r="L116">
        <v>9.81</v>
      </c>
    </row>
    <row r="117" spans="1:12" x14ac:dyDescent="0.3">
      <c r="A117" s="11">
        <v>1.917</v>
      </c>
      <c r="B117" s="12">
        <v>0.246</v>
      </c>
      <c r="C117" s="13">
        <v>-0.46</v>
      </c>
      <c r="D117" s="15">
        <v>0.46</v>
      </c>
      <c r="E117" s="17">
        <f t="shared" si="4"/>
        <v>0.65053823869162375</v>
      </c>
      <c r="F117" s="14">
        <f t="shared" si="5"/>
        <v>5.0292338400000004E-2</v>
      </c>
      <c r="G117" s="16">
        <f t="shared" si="6"/>
        <v>4.4097440000000002E-3</v>
      </c>
      <c r="H117" s="18">
        <f t="shared" si="7"/>
        <v>5.4702082400000004E-2</v>
      </c>
      <c r="K117">
        <v>2.0840000000000001E-2</v>
      </c>
      <c r="L117">
        <v>9.81</v>
      </c>
    </row>
    <row r="118" spans="1:12" x14ac:dyDescent="0.3">
      <c r="A118" s="11">
        <v>1.9330000000000001</v>
      </c>
      <c r="B118" s="12">
        <v>0.253</v>
      </c>
      <c r="C118" s="13">
        <v>-0.46</v>
      </c>
      <c r="D118" s="15">
        <v>0.38400000000000001</v>
      </c>
      <c r="E118" s="17">
        <f t="shared" si="4"/>
        <v>0.59921281695237461</v>
      </c>
      <c r="F118" s="14">
        <f t="shared" si="5"/>
        <v>5.1723421200000008E-2</v>
      </c>
      <c r="G118" s="16">
        <f t="shared" si="6"/>
        <v>3.7413635199999998E-3</v>
      </c>
      <c r="H118" s="18">
        <f t="shared" si="7"/>
        <v>5.5464784720000007E-2</v>
      </c>
      <c r="K118">
        <v>2.0840000000000001E-2</v>
      </c>
      <c r="L118">
        <v>9.81</v>
      </c>
    </row>
    <row r="119" spans="1:12" x14ac:dyDescent="0.3">
      <c r="A119" s="11">
        <v>1.95</v>
      </c>
      <c r="B119" s="12">
        <v>0.25800000000000001</v>
      </c>
      <c r="C119" s="13">
        <v>-0.53700000000000003</v>
      </c>
      <c r="D119" s="15">
        <v>0.23</v>
      </c>
      <c r="E119" s="17">
        <f t="shared" si="4"/>
        <v>0.58418233454975343</v>
      </c>
      <c r="F119" s="14">
        <f t="shared" si="5"/>
        <v>5.2745623200000008E-2</v>
      </c>
      <c r="G119" s="16">
        <f t="shared" si="6"/>
        <v>3.5560229800000007E-3</v>
      </c>
      <c r="H119" s="18">
        <f t="shared" si="7"/>
        <v>5.6301646180000012E-2</v>
      </c>
      <c r="K119">
        <v>2.0840000000000001E-2</v>
      </c>
      <c r="L119">
        <v>9.81</v>
      </c>
    </row>
    <row r="120" spans="1:12" x14ac:dyDescent="0.3">
      <c r="A120" s="11">
        <v>1.9670000000000001</v>
      </c>
      <c r="B120" s="12">
        <v>0.26100000000000001</v>
      </c>
      <c r="C120" s="13">
        <v>-0.38400000000000001</v>
      </c>
      <c r="D120" s="15">
        <v>0.23</v>
      </c>
      <c r="E120" s="17">
        <f t="shared" si="4"/>
        <v>0.44761143863846914</v>
      </c>
      <c r="F120" s="14">
        <f t="shared" si="5"/>
        <v>5.3358944400000011E-2</v>
      </c>
      <c r="G120" s="16">
        <f t="shared" si="6"/>
        <v>2.0877095200000006E-3</v>
      </c>
      <c r="H120" s="18">
        <f t="shared" si="7"/>
        <v>5.5446653920000012E-2</v>
      </c>
      <c r="K120">
        <v>2.0840000000000001E-2</v>
      </c>
      <c r="L120">
        <v>9.81</v>
      </c>
    </row>
    <row r="121" spans="1:12" x14ac:dyDescent="0.3">
      <c r="A121" s="11">
        <v>1.9830000000000001</v>
      </c>
      <c r="B121" s="12">
        <v>0.26600000000000001</v>
      </c>
      <c r="C121" s="13">
        <v>-7.6730000000000007E-2</v>
      </c>
      <c r="D121" s="15">
        <v>0.23</v>
      </c>
      <c r="E121" s="17">
        <f t="shared" si="4"/>
        <v>0.2424613224825766</v>
      </c>
      <c r="F121" s="14">
        <f t="shared" si="5"/>
        <v>5.4381146400000011E-2</v>
      </c>
      <c r="G121" s="16">
        <f t="shared" si="6"/>
        <v>6.1256567601800007E-4</v>
      </c>
      <c r="H121" s="18">
        <f t="shared" si="7"/>
        <v>5.4993712076018011E-2</v>
      </c>
      <c r="K121">
        <v>2.0840000000000001E-2</v>
      </c>
      <c r="L121">
        <v>9.81</v>
      </c>
    </row>
    <row r="122" spans="1:12" x14ac:dyDescent="0.3">
      <c r="A122" s="11">
        <v>2</v>
      </c>
      <c r="B122" s="12">
        <v>0.26900000000000002</v>
      </c>
      <c r="C122" s="13">
        <v>-7.6730000000000007E-2</v>
      </c>
      <c r="D122" s="15">
        <v>0.153</v>
      </c>
      <c r="E122" s="17">
        <f t="shared" si="4"/>
        <v>0.17116218303118244</v>
      </c>
      <c r="F122" s="14">
        <f t="shared" si="5"/>
        <v>5.4994467600000006E-2</v>
      </c>
      <c r="G122" s="16">
        <f t="shared" si="6"/>
        <v>3.0526945601799999E-4</v>
      </c>
      <c r="H122" s="18">
        <f t="shared" si="7"/>
        <v>5.5299737056018004E-2</v>
      </c>
      <c r="K122">
        <v>2.0840000000000001E-2</v>
      </c>
      <c r="L122">
        <v>9.81</v>
      </c>
    </row>
    <row r="123" spans="1:12" x14ac:dyDescent="0.3">
      <c r="A123" s="11">
        <v>2.0169999999999999</v>
      </c>
      <c r="B123" s="12">
        <v>0.27100000000000002</v>
      </c>
      <c r="C123" s="13">
        <v>-7.6730000000000007E-2</v>
      </c>
      <c r="D123" s="15">
        <v>0.153</v>
      </c>
      <c r="E123" s="17">
        <f t="shared" si="4"/>
        <v>0.17116218303118244</v>
      </c>
      <c r="F123" s="14">
        <f t="shared" si="5"/>
        <v>5.540334840000001E-2</v>
      </c>
      <c r="G123" s="16">
        <f t="shared" si="6"/>
        <v>3.0526945601799999E-4</v>
      </c>
      <c r="H123" s="18">
        <f t="shared" si="7"/>
        <v>5.5708617856018008E-2</v>
      </c>
      <c r="K123">
        <v>2.0840000000000001E-2</v>
      </c>
      <c r="L123">
        <v>9.81</v>
      </c>
    </row>
    <row r="124" spans="1:12" x14ac:dyDescent="0.3">
      <c r="A124" s="11">
        <v>2.0329999999999999</v>
      </c>
      <c r="B124" s="12">
        <v>0.27400000000000002</v>
      </c>
      <c r="C124" s="13">
        <v>7.6730000000000007E-2</v>
      </c>
      <c r="D124" s="15">
        <v>-0.153</v>
      </c>
      <c r="E124" s="17">
        <f t="shared" si="4"/>
        <v>0.17116218303118244</v>
      </c>
      <c r="F124" s="14">
        <f t="shared" si="5"/>
        <v>5.6016669600000013E-2</v>
      </c>
      <c r="G124" s="16">
        <f t="shared" si="6"/>
        <v>3.0526945601799999E-4</v>
      </c>
      <c r="H124" s="18">
        <f t="shared" si="7"/>
        <v>5.6321939056018011E-2</v>
      </c>
      <c r="K124">
        <v>2.0840000000000001E-2</v>
      </c>
      <c r="L124">
        <v>9.81</v>
      </c>
    </row>
    <row r="125" spans="1:12" x14ac:dyDescent="0.3">
      <c r="A125" s="11">
        <v>2.0499999999999998</v>
      </c>
      <c r="B125" s="12">
        <v>0.26600000000000001</v>
      </c>
      <c r="C125" s="13">
        <v>0.307</v>
      </c>
      <c r="D125" s="15">
        <v>-0.307</v>
      </c>
      <c r="E125" s="17">
        <f t="shared" si="4"/>
        <v>0.4341635636485402</v>
      </c>
      <c r="F125" s="14">
        <f t="shared" si="5"/>
        <v>5.4381146400000011E-2</v>
      </c>
      <c r="G125" s="16">
        <f t="shared" si="6"/>
        <v>1.9641491600000003E-3</v>
      </c>
      <c r="H125" s="18">
        <f t="shared" si="7"/>
        <v>5.6345295560000008E-2</v>
      </c>
      <c r="K125">
        <v>2.0840000000000001E-2</v>
      </c>
      <c r="L125">
        <v>9.81</v>
      </c>
    </row>
    <row r="126" spans="1:12" x14ac:dyDescent="0.3">
      <c r="A126" s="11">
        <v>2.0670000000000002</v>
      </c>
      <c r="B126" s="12">
        <v>0.26300000000000001</v>
      </c>
      <c r="C126" s="13">
        <v>0.53700000000000003</v>
      </c>
      <c r="D126" s="15">
        <v>-0.153</v>
      </c>
      <c r="E126" s="17">
        <f t="shared" si="4"/>
        <v>0.55837084451106511</v>
      </c>
      <c r="F126" s="14">
        <f t="shared" si="5"/>
        <v>5.3767825200000008E-2</v>
      </c>
      <c r="G126" s="16">
        <f t="shared" si="6"/>
        <v>3.2487267600000008E-3</v>
      </c>
      <c r="H126" s="18">
        <f t="shared" si="7"/>
        <v>5.7016551960000009E-2</v>
      </c>
      <c r="K126">
        <v>2.0840000000000001E-2</v>
      </c>
      <c r="L126">
        <v>9.81</v>
      </c>
    </row>
    <row r="127" spans="1:12" x14ac:dyDescent="0.3">
      <c r="A127" s="11">
        <v>2.0830000000000002</v>
      </c>
      <c r="B127" s="12">
        <v>0.26100000000000001</v>
      </c>
      <c r="C127" s="13">
        <v>0.53700000000000003</v>
      </c>
      <c r="D127" s="15">
        <v>-0.23</v>
      </c>
      <c r="E127" s="17">
        <f t="shared" si="4"/>
        <v>0.58418233454975343</v>
      </c>
      <c r="F127" s="14">
        <f t="shared" si="5"/>
        <v>5.3358944400000011E-2</v>
      </c>
      <c r="G127" s="16">
        <f t="shared" si="6"/>
        <v>3.5560229800000007E-3</v>
      </c>
      <c r="H127" s="18">
        <f t="shared" si="7"/>
        <v>5.6914967380000014E-2</v>
      </c>
      <c r="K127">
        <v>2.0840000000000001E-2</v>
      </c>
      <c r="L127">
        <v>9.81</v>
      </c>
    </row>
    <row r="128" spans="1:12" x14ac:dyDescent="0.3">
      <c r="A128" s="11">
        <v>2.1</v>
      </c>
      <c r="B128" s="12">
        <v>0.25600000000000001</v>
      </c>
      <c r="C128" s="13">
        <v>0.53700000000000003</v>
      </c>
      <c r="D128" s="15">
        <v>-0.46</v>
      </c>
      <c r="E128" s="17">
        <f t="shared" si="4"/>
        <v>0.70708486053655539</v>
      </c>
      <c r="F128" s="14">
        <f t="shared" si="5"/>
        <v>5.2336742400000004E-2</v>
      </c>
      <c r="G128" s="16">
        <f t="shared" si="6"/>
        <v>5.2096769800000003E-3</v>
      </c>
      <c r="H128" s="18">
        <f t="shared" si="7"/>
        <v>5.7546419380000005E-2</v>
      </c>
      <c r="K128">
        <v>2.0840000000000001E-2</v>
      </c>
      <c r="L128">
        <v>9.81</v>
      </c>
    </row>
    <row r="129" spans="1:12" x14ac:dyDescent="0.3">
      <c r="A129" s="11">
        <v>2.117</v>
      </c>
      <c r="B129" s="12">
        <v>0.246</v>
      </c>
      <c r="C129" s="13">
        <v>0.46</v>
      </c>
      <c r="D129" s="15">
        <v>-0.53700000000000003</v>
      </c>
      <c r="E129" s="17">
        <f t="shared" si="4"/>
        <v>0.70708486053655539</v>
      </c>
      <c r="F129" s="14">
        <f t="shared" si="5"/>
        <v>5.0292338400000004E-2</v>
      </c>
      <c r="G129" s="16">
        <f t="shared" si="6"/>
        <v>5.2096769800000003E-3</v>
      </c>
      <c r="H129" s="18">
        <f t="shared" si="7"/>
        <v>5.5502015380000005E-2</v>
      </c>
      <c r="K129">
        <v>2.0840000000000001E-2</v>
      </c>
      <c r="L129">
        <v>9.81</v>
      </c>
    </row>
    <row r="130" spans="1:12" x14ac:dyDescent="0.3">
      <c r="A130" s="11">
        <v>2.133</v>
      </c>
      <c r="B130" s="12">
        <v>0.23799999999999999</v>
      </c>
      <c r="C130" s="13">
        <v>0.61399999999999999</v>
      </c>
      <c r="D130" s="15">
        <v>-0.53700000000000003</v>
      </c>
      <c r="E130" s="17">
        <f t="shared" si="4"/>
        <v>0.81569908667351099</v>
      </c>
      <c r="F130" s="14">
        <f t="shared" si="5"/>
        <v>4.8656815200000002E-2</v>
      </c>
      <c r="G130" s="16">
        <f t="shared" si="6"/>
        <v>6.9331033E-3</v>
      </c>
      <c r="H130" s="18">
        <f t="shared" si="7"/>
        <v>5.5589918500000002E-2</v>
      </c>
      <c r="K130">
        <v>2.0840000000000001E-2</v>
      </c>
      <c r="L130">
        <v>9.81</v>
      </c>
    </row>
    <row r="131" spans="1:12" x14ac:dyDescent="0.3">
      <c r="A131" s="11">
        <v>2.15</v>
      </c>
      <c r="B131" s="12">
        <v>0.22800000000000001</v>
      </c>
      <c r="C131" s="13">
        <v>0.92100000000000004</v>
      </c>
      <c r="D131" s="15">
        <v>-0.69099999999999995</v>
      </c>
      <c r="E131" s="17">
        <f t="shared" ref="E131:E194" si="8">SQRT((C131)^(2)+(D131)^(2))</f>
        <v>1.151400017370158</v>
      </c>
      <c r="F131" s="14">
        <f t="shared" ref="F131:F194" si="9">(K131*L131*B131)</f>
        <v>4.6612411200000009E-2</v>
      </c>
      <c r="G131" s="16">
        <f t="shared" ref="G131:G194" si="10">(K131*(E131)^(2))/(2)</f>
        <v>1.3814023240000001E-2</v>
      </c>
      <c r="H131" s="18">
        <f t="shared" si="7"/>
        <v>6.042643444000001E-2</v>
      </c>
      <c r="K131">
        <v>2.0840000000000001E-2</v>
      </c>
      <c r="L131">
        <v>9.81</v>
      </c>
    </row>
    <row r="132" spans="1:12" x14ac:dyDescent="0.3">
      <c r="A132" s="11">
        <v>2.1669999999999998</v>
      </c>
      <c r="B132" s="12">
        <v>0.215</v>
      </c>
      <c r="C132" s="13">
        <v>0.92100000000000004</v>
      </c>
      <c r="D132" s="15">
        <v>-0.61399999999999999</v>
      </c>
      <c r="E132" s="17">
        <f t="shared" si="8"/>
        <v>1.1069042415674446</v>
      </c>
      <c r="F132" s="14">
        <f t="shared" si="9"/>
        <v>4.3954686000000007E-2</v>
      </c>
      <c r="G132" s="16">
        <f t="shared" si="10"/>
        <v>1.2766969539999997E-2</v>
      </c>
      <c r="H132" s="18">
        <f t="shared" ref="H132:H195" si="11">(F132+G132)</f>
        <v>5.6721655540000006E-2</v>
      </c>
      <c r="K132">
        <v>2.0840000000000001E-2</v>
      </c>
      <c r="L132">
        <v>9.81</v>
      </c>
    </row>
    <row r="133" spans="1:12" x14ac:dyDescent="0.3">
      <c r="A133" s="11">
        <v>2.1829999999999998</v>
      </c>
      <c r="B133" s="12">
        <v>0.20699999999999999</v>
      </c>
      <c r="C133" s="13">
        <v>0.76700000000000002</v>
      </c>
      <c r="D133" s="15">
        <v>-0.53700000000000003</v>
      </c>
      <c r="E133" s="17">
        <f t="shared" si="8"/>
        <v>0.93630016554521667</v>
      </c>
      <c r="F133" s="14">
        <f t="shared" si="9"/>
        <v>4.2319162800000004E-2</v>
      </c>
      <c r="G133" s="16">
        <f t="shared" si="10"/>
        <v>9.1347763600000027E-3</v>
      </c>
      <c r="H133" s="18">
        <f t="shared" si="11"/>
        <v>5.1453939160000003E-2</v>
      </c>
      <c r="K133">
        <v>2.0840000000000001E-2</v>
      </c>
      <c r="L133">
        <v>9.81</v>
      </c>
    </row>
    <row r="134" spans="1:12" x14ac:dyDescent="0.3">
      <c r="A134" s="11">
        <v>2.2000000000000002</v>
      </c>
      <c r="B134" s="12">
        <v>0.19700000000000001</v>
      </c>
      <c r="C134" s="13">
        <v>0.997</v>
      </c>
      <c r="D134" s="15">
        <v>-0.92100000000000004</v>
      </c>
      <c r="E134" s="17">
        <f t="shared" si="8"/>
        <v>1.3572951042422572</v>
      </c>
      <c r="F134" s="14">
        <f t="shared" si="9"/>
        <v>4.0274758800000005E-2</v>
      </c>
      <c r="G134" s="16">
        <f t="shared" si="10"/>
        <v>1.9196244999999997E-2</v>
      </c>
      <c r="H134" s="18">
        <f t="shared" si="11"/>
        <v>5.9471003800000005E-2</v>
      </c>
      <c r="K134">
        <v>2.0840000000000001E-2</v>
      </c>
      <c r="L134">
        <v>9.81</v>
      </c>
    </row>
    <row r="135" spans="1:12" x14ac:dyDescent="0.3">
      <c r="A135" s="11">
        <v>2.2170000000000001</v>
      </c>
      <c r="B135" s="12">
        <v>0.17599999999999999</v>
      </c>
      <c r="C135" s="13">
        <v>1.5349999999999999</v>
      </c>
      <c r="D135" s="15">
        <v>-0.997</v>
      </c>
      <c r="E135" s="17">
        <f t="shared" si="8"/>
        <v>1.8303644445847389</v>
      </c>
      <c r="F135" s="14">
        <f t="shared" si="9"/>
        <v>3.59815104E-2</v>
      </c>
      <c r="G135" s="16">
        <f t="shared" si="10"/>
        <v>3.4909438280000003E-2</v>
      </c>
      <c r="H135" s="18">
        <f t="shared" si="11"/>
        <v>7.089094868000001E-2</v>
      </c>
      <c r="K135">
        <v>2.0840000000000001E-2</v>
      </c>
      <c r="L135">
        <v>9.81</v>
      </c>
    </row>
    <row r="136" spans="1:12" x14ac:dyDescent="0.3">
      <c r="A136" s="11">
        <v>2.2330000000000001</v>
      </c>
      <c r="B136" s="12">
        <v>0.16400000000000001</v>
      </c>
      <c r="C136" s="13">
        <v>1.381</v>
      </c>
      <c r="D136" s="15">
        <v>-0.76700000000000002</v>
      </c>
      <c r="E136" s="17">
        <f t="shared" si="8"/>
        <v>1.5796993384818516</v>
      </c>
      <c r="F136" s="14">
        <f t="shared" si="9"/>
        <v>3.3528225600000003E-2</v>
      </c>
      <c r="G136" s="16">
        <f t="shared" si="10"/>
        <v>2.6002588999999996E-2</v>
      </c>
      <c r="H136" s="18">
        <f t="shared" si="11"/>
        <v>5.9530814599999995E-2</v>
      </c>
      <c r="K136">
        <v>2.0840000000000001E-2</v>
      </c>
      <c r="L136">
        <v>9.81</v>
      </c>
    </row>
    <row r="137" spans="1:12" x14ac:dyDescent="0.3">
      <c r="A137" s="11">
        <v>2.25</v>
      </c>
      <c r="B137" s="12">
        <v>0.151</v>
      </c>
      <c r="C137" s="13">
        <v>1.304</v>
      </c>
      <c r="D137" s="15">
        <v>-0.84399999999999997</v>
      </c>
      <c r="E137" s="17">
        <f t="shared" si="8"/>
        <v>1.5533035762528844</v>
      </c>
      <c r="F137" s="14">
        <f t="shared" si="9"/>
        <v>3.0870500400000004E-2</v>
      </c>
      <c r="G137" s="16">
        <f t="shared" si="10"/>
        <v>2.5140875840000004E-2</v>
      </c>
      <c r="H137" s="18">
        <f t="shared" si="11"/>
        <v>5.6011376240000008E-2</v>
      </c>
      <c r="K137">
        <v>2.0840000000000001E-2</v>
      </c>
      <c r="L137">
        <v>9.81</v>
      </c>
    </row>
    <row r="138" spans="1:12" x14ac:dyDescent="0.3">
      <c r="A138" s="11">
        <v>2.2669999999999999</v>
      </c>
      <c r="B138" s="12">
        <v>0.13600000000000001</v>
      </c>
      <c r="C138" s="13">
        <v>1.6879999999999999</v>
      </c>
      <c r="D138" s="15">
        <v>-0.69099999999999995</v>
      </c>
      <c r="E138" s="17">
        <f t="shared" si="8"/>
        <v>1.8239586069864633</v>
      </c>
      <c r="F138" s="14">
        <f t="shared" si="9"/>
        <v>2.7803894400000004E-2</v>
      </c>
      <c r="G138" s="16">
        <f t="shared" si="10"/>
        <v>3.4665516499999993E-2</v>
      </c>
      <c r="H138" s="18">
        <f t="shared" si="11"/>
        <v>6.2469410899999994E-2</v>
      </c>
      <c r="K138">
        <v>2.0840000000000001E-2</v>
      </c>
      <c r="L138">
        <v>9.81</v>
      </c>
    </row>
    <row r="139" spans="1:12" x14ac:dyDescent="0.3">
      <c r="A139" s="11">
        <v>2.2829999999999999</v>
      </c>
      <c r="B139" s="12">
        <v>0.128</v>
      </c>
      <c r="C139" s="13">
        <v>1.6879999999999999</v>
      </c>
      <c r="D139" s="15">
        <v>-0.84399999999999997</v>
      </c>
      <c r="E139" s="17">
        <f t="shared" si="8"/>
        <v>1.8872413730098225</v>
      </c>
      <c r="F139" s="14">
        <f t="shared" si="9"/>
        <v>2.6168371200000002E-2</v>
      </c>
      <c r="G139" s="16">
        <f t="shared" si="10"/>
        <v>3.7112705600000004E-2</v>
      </c>
      <c r="H139" s="18">
        <f t="shared" si="11"/>
        <v>6.3281076800000002E-2</v>
      </c>
      <c r="K139">
        <v>2.0840000000000001E-2</v>
      </c>
      <c r="L139">
        <v>9.81</v>
      </c>
    </row>
    <row r="140" spans="1:12" x14ac:dyDescent="0.3">
      <c r="A140" s="11">
        <v>2.2999999999999998</v>
      </c>
      <c r="B140" s="12">
        <v>0.107</v>
      </c>
      <c r="C140" s="13">
        <v>1.611</v>
      </c>
      <c r="D140" s="15">
        <v>-1.0740000000000001</v>
      </c>
      <c r="E140" s="17">
        <f t="shared" si="8"/>
        <v>1.9361810349241622</v>
      </c>
      <c r="F140" s="14">
        <f t="shared" si="9"/>
        <v>2.1875122800000001E-2</v>
      </c>
      <c r="G140" s="16">
        <f t="shared" si="10"/>
        <v>3.9062464739999997E-2</v>
      </c>
      <c r="H140" s="18">
        <f t="shared" si="11"/>
        <v>6.0937587539999997E-2</v>
      </c>
      <c r="K140">
        <v>2.0840000000000001E-2</v>
      </c>
      <c r="L140">
        <v>9.81</v>
      </c>
    </row>
    <row r="141" spans="1:12" x14ac:dyDescent="0.3">
      <c r="A141" s="11">
        <v>2.3170000000000002</v>
      </c>
      <c r="B141" s="12">
        <v>9.2069999999999999E-2</v>
      </c>
      <c r="C141" s="13">
        <v>1.841</v>
      </c>
      <c r="D141" s="15">
        <v>-0.84399999999999997</v>
      </c>
      <c r="E141" s="17">
        <f t="shared" si="8"/>
        <v>2.0252449234598764</v>
      </c>
      <c r="F141" s="14">
        <f t="shared" si="9"/>
        <v>1.8822827628000003E-2</v>
      </c>
      <c r="G141" s="16">
        <f t="shared" si="10"/>
        <v>4.2738849140000014E-2</v>
      </c>
      <c r="H141" s="18">
        <f t="shared" si="11"/>
        <v>6.156167676800002E-2</v>
      </c>
      <c r="K141">
        <v>2.0840000000000001E-2</v>
      </c>
      <c r="L141">
        <v>9.81</v>
      </c>
    </row>
    <row r="142" spans="1:12" x14ac:dyDescent="0.3">
      <c r="A142" s="11">
        <v>2.3330000000000002</v>
      </c>
      <c r="B142" s="12">
        <v>7.9280000000000003E-2</v>
      </c>
      <c r="C142" s="13">
        <v>2.0720000000000001</v>
      </c>
      <c r="D142" s="15">
        <v>-0.84399999999999997</v>
      </c>
      <c r="E142" s="17">
        <f t="shared" si="8"/>
        <v>2.2373019465418609</v>
      </c>
      <c r="F142" s="14">
        <f t="shared" si="9"/>
        <v>1.6208034912000003E-2</v>
      </c>
      <c r="G142" s="16">
        <f t="shared" si="10"/>
        <v>5.2157518399999998E-2</v>
      </c>
      <c r="H142" s="18">
        <f t="shared" si="11"/>
        <v>6.8365553312000005E-2</v>
      </c>
      <c r="K142">
        <v>2.0840000000000001E-2</v>
      </c>
      <c r="L142">
        <v>9.81</v>
      </c>
    </row>
    <row r="143" spans="1:12" x14ac:dyDescent="0.3">
      <c r="A143" s="11">
        <v>2.35</v>
      </c>
      <c r="B143" s="12">
        <v>6.3939999999999997E-2</v>
      </c>
      <c r="C143" s="13">
        <v>2.1480000000000001</v>
      </c>
      <c r="D143" s="15">
        <v>-0.92100000000000004</v>
      </c>
      <c r="E143" s="17">
        <f t="shared" si="8"/>
        <v>2.3371232316675132</v>
      </c>
      <c r="F143" s="14">
        <f t="shared" si="9"/>
        <v>1.3071919176000001E-2</v>
      </c>
      <c r="G143" s="16">
        <f t="shared" si="10"/>
        <v>5.6915550900000007E-2</v>
      </c>
      <c r="H143" s="18">
        <f t="shared" si="11"/>
        <v>6.9987470076000008E-2</v>
      </c>
      <c r="K143">
        <v>2.0840000000000001E-2</v>
      </c>
      <c r="L143">
        <v>9.81</v>
      </c>
    </row>
    <row r="144" spans="1:12" x14ac:dyDescent="0.3">
      <c r="A144" s="11">
        <v>2.367</v>
      </c>
      <c r="B144" s="12">
        <v>4.8590000000000001E-2</v>
      </c>
      <c r="C144" s="13">
        <v>2.0720000000000001</v>
      </c>
      <c r="D144" s="15">
        <v>-0.69099999999999995</v>
      </c>
      <c r="E144" s="17">
        <f t="shared" si="8"/>
        <v>2.1841852027701316</v>
      </c>
      <c r="F144" s="14">
        <f t="shared" si="9"/>
        <v>9.9337590360000019E-3</v>
      </c>
      <c r="G144" s="16">
        <f t="shared" si="10"/>
        <v>4.9710329300000015E-2</v>
      </c>
      <c r="H144" s="18">
        <f t="shared" si="11"/>
        <v>5.9644088336000017E-2</v>
      </c>
      <c r="K144">
        <v>2.0840000000000001E-2</v>
      </c>
      <c r="L144">
        <v>9.81</v>
      </c>
    </row>
    <row r="145" spans="1:12" x14ac:dyDescent="0.3">
      <c r="A145" s="11">
        <v>2.383</v>
      </c>
      <c r="B145" s="12">
        <v>4.0919999999999998E-2</v>
      </c>
      <c r="C145" s="13">
        <v>2.2250000000000001</v>
      </c>
      <c r="D145" s="15">
        <v>-0.61399999999999999</v>
      </c>
      <c r="E145" s="17">
        <f t="shared" si="8"/>
        <v>2.3081639889747869</v>
      </c>
      <c r="F145" s="14">
        <f t="shared" si="9"/>
        <v>8.3657011680000008E-3</v>
      </c>
      <c r="G145" s="16">
        <f t="shared" si="10"/>
        <v>5.5513810820000009E-2</v>
      </c>
      <c r="H145" s="18">
        <f t="shared" si="11"/>
        <v>6.3879511988000015E-2</v>
      </c>
      <c r="K145">
        <v>2.0840000000000001E-2</v>
      </c>
      <c r="L145">
        <v>9.81</v>
      </c>
    </row>
    <row r="146" spans="1:12" x14ac:dyDescent="0.3">
      <c r="A146" s="11">
        <v>2.4</v>
      </c>
      <c r="B146" s="12">
        <v>2.8129999999999999E-2</v>
      </c>
      <c r="C146" s="13">
        <v>2.302</v>
      </c>
      <c r="D146" s="15">
        <v>-0.69099999999999995</v>
      </c>
      <c r="E146" s="17">
        <f t="shared" si="8"/>
        <v>2.4034735280422792</v>
      </c>
      <c r="F146" s="14">
        <f t="shared" si="9"/>
        <v>5.7509084520000007E-3</v>
      </c>
      <c r="G146" s="16">
        <f t="shared" si="10"/>
        <v>6.0193057700000011E-2</v>
      </c>
      <c r="H146" s="18">
        <f t="shared" si="11"/>
        <v>6.5943966152000016E-2</v>
      </c>
      <c r="K146">
        <v>2.0840000000000001E-2</v>
      </c>
      <c r="L146">
        <v>9.81</v>
      </c>
    </row>
    <row r="147" spans="1:12" x14ac:dyDescent="0.3">
      <c r="A147" s="11">
        <v>2.4169999999999998</v>
      </c>
      <c r="B147" s="12">
        <v>1.7899999999999999E-2</v>
      </c>
      <c r="C147" s="13">
        <v>2.379</v>
      </c>
      <c r="D147" s="15">
        <v>-0.53700000000000003</v>
      </c>
      <c r="E147" s="17">
        <f t="shared" si="8"/>
        <v>2.4388542391869179</v>
      </c>
      <c r="F147" s="14">
        <f t="shared" si="9"/>
        <v>3.6594831600000001E-3</v>
      </c>
      <c r="G147" s="16">
        <f t="shared" si="10"/>
        <v>6.1978264200000001E-2</v>
      </c>
      <c r="H147" s="18">
        <f t="shared" si="11"/>
        <v>6.5637747359999998E-2</v>
      </c>
      <c r="K147">
        <v>2.0840000000000001E-2</v>
      </c>
      <c r="L147">
        <v>9.81</v>
      </c>
    </row>
    <row r="148" spans="1:12" x14ac:dyDescent="0.3">
      <c r="A148" s="11">
        <v>2.4329999999999998</v>
      </c>
      <c r="B148" s="12">
        <v>1.023E-2</v>
      </c>
      <c r="C148" s="13">
        <v>2.4550000000000001</v>
      </c>
      <c r="D148" s="15">
        <v>-0.38400000000000001</v>
      </c>
      <c r="E148" s="17">
        <f t="shared" si="8"/>
        <v>2.4848502973016302</v>
      </c>
      <c r="F148" s="14">
        <f t="shared" si="9"/>
        <v>2.0914252920000002E-3</v>
      </c>
      <c r="G148" s="16">
        <f t="shared" si="10"/>
        <v>6.4338092020000001E-2</v>
      </c>
      <c r="H148" s="18">
        <f t="shared" si="11"/>
        <v>6.6429517312000003E-2</v>
      </c>
      <c r="K148">
        <v>2.0840000000000001E-2</v>
      </c>
      <c r="L148">
        <v>9.81</v>
      </c>
    </row>
    <row r="149" spans="1:12" x14ac:dyDescent="0.3">
      <c r="A149" s="11">
        <v>2.4500000000000002</v>
      </c>
      <c r="B149" s="12">
        <v>5.1149999999999998E-3</v>
      </c>
      <c r="C149" s="13">
        <v>2.4550000000000001</v>
      </c>
      <c r="D149" s="15">
        <v>-0.46</v>
      </c>
      <c r="E149" s="17">
        <f t="shared" si="8"/>
        <v>2.4977239639319633</v>
      </c>
      <c r="F149" s="14">
        <f t="shared" si="9"/>
        <v>1.0457126460000001E-3</v>
      </c>
      <c r="G149" s="16">
        <f t="shared" si="10"/>
        <v>6.5006472499999995E-2</v>
      </c>
      <c r="H149" s="18">
        <f t="shared" si="11"/>
        <v>6.6052185145999989E-2</v>
      </c>
      <c r="K149">
        <v>2.0840000000000001E-2</v>
      </c>
      <c r="L149">
        <v>9.81</v>
      </c>
    </row>
    <row r="150" spans="1:12" x14ac:dyDescent="0.3">
      <c r="A150" s="11">
        <v>2.4670000000000001</v>
      </c>
      <c r="B150" s="12">
        <v>-5.1149999999999998E-3</v>
      </c>
      <c r="C150" s="13">
        <v>2.609</v>
      </c>
      <c r="D150" s="15">
        <v>-0.46</v>
      </c>
      <c r="E150" s="17">
        <f t="shared" si="8"/>
        <v>2.6492415895874801</v>
      </c>
      <c r="F150" s="14">
        <f t="shared" si="9"/>
        <v>-1.0457126460000001E-3</v>
      </c>
      <c r="G150" s="16">
        <f t="shared" si="10"/>
        <v>7.3132572019999995E-2</v>
      </c>
      <c r="H150" s="18">
        <f t="shared" si="11"/>
        <v>7.2086859374000001E-2</v>
      </c>
      <c r="K150">
        <v>2.0840000000000001E-2</v>
      </c>
      <c r="L150">
        <v>9.81</v>
      </c>
    </row>
    <row r="151" spans="1:12" x14ac:dyDescent="0.3">
      <c r="A151" s="11">
        <v>2.4830000000000001</v>
      </c>
      <c r="B151" s="12">
        <v>-1.023E-2</v>
      </c>
      <c r="C151" s="13">
        <v>2.532</v>
      </c>
      <c r="D151" s="15">
        <v>-0.153</v>
      </c>
      <c r="E151" s="17">
        <f t="shared" si="8"/>
        <v>2.5366184182884108</v>
      </c>
      <c r="F151" s="14">
        <f t="shared" si="9"/>
        <v>-2.0914252920000002E-3</v>
      </c>
      <c r="G151" s="16">
        <f t="shared" si="10"/>
        <v>6.7046791859999996E-2</v>
      </c>
      <c r="H151" s="18">
        <f t="shared" si="11"/>
        <v>6.4955366567999995E-2</v>
      </c>
      <c r="K151">
        <v>2.0840000000000001E-2</v>
      </c>
      <c r="L151">
        <v>9.81</v>
      </c>
    </row>
    <row r="152" spans="1:12" x14ac:dyDescent="0.3">
      <c r="A152" s="11">
        <v>2.5</v>
      </c>
      <c r="B152" s="12">
        <v>-1.023E-2</v>
      </c>
      <c r="C152" s="13">
        <v>2.532</v>
      </c>
      <c r="D152" s="15">
        <v>-0.153</v>
      </c>
      <c r="E152" s="17">
        <f t="shared" si="8"/>
        <v>2.5366184182884108</v>
      </c>
      <c r="F152" s="14">
        <f t="shared" si="9"/>
        <v>-2.0914252920000002E-3</v>
      </c>
      <c r="G152" s="16">
        <f t="shared" si="10"/>
        <v>6.7046791859999996E-2</v>
      </c>
      <c r="H152" s="18">
        <f t="shared" si="11"/>
        <v>6.4955366567999995E-2</v>
      </c>
      <c r="K152">
        <v>2.0840000000000001E-2</v>
      </c>
      <c r="L152">
        <v>9.81</v>
      </c>
    </row>
    <row r="153" spans="1:12" x14ac:dyDescent="0.3">
      <c r="A153" s="11">
        <v>2.5169999999999999</v>
      </c>
      <c r="B153" s="12">
        <v>-1.5350000000000001E-2</v>
      </c>
      <c r="C153" s="13">
        <v>2.609</v>
      </c>
      <c r="D153" s="15">
        <v>-0.153</v>
      </c>
      <c r="E153" s="17">
        <f t="shared" si="8"/>
        <v>2.6134823511935181</v>
      </c>
      <c r="F153" s="14">
        <f t="shared" si="9"/>
        <v>-3.1381601400000004E-3</v>
      </c>
      <c r="G153" s="16">
        <f t="shared" si="10"/>
        <v>7.1171621800000001E-2</v>
      </c>
      <c r="H153" s="18">
        <f t="shared" si="11"/>
        <v>6.8033461660000003E-2</v>
      </c>
      <c r="K153">
        <v>2.0840000000000001E-2</v>
      </c>
      <c r="L153">
        <v>9.81</v>
      </c>
    </row>
    <row r="154" spans="1:12" x14ac:dyDescent="0.3">
      <c r="A154" s="11">
        <v>2.5329999999999999</v>
      </c>
      <c r="B154" s="12">
        <v>-1.5350000000000001E-2</v>
      </c>
      <c r="C154" s="13">
        <v>2.532</v>
      </c>
      <c r="D154" s="15">
        <v>0.153</v>
      </c>
      <c r="E154" s="17">
        <f t="shared" si="8"/>
        <v>2.5366184182884108</v>
      </c>
      <c r="F154" s="14">
        <f t="shared" si="9"/>
        <v>-3.1381601400000004E-3</v>
      </c>
      <c r="G154" s="16">
        <f t="shared" si="10"/>
        <v>6.7046791859999996E-2</v>
      </c>
      <c r="H154" s="18">
        <f t="shared" si="11"/>
        <v>6.3908631719999998E-2</v>
      </c>
      <c r="K154">
        <v>2.0840000000000001E-2</v>
      </c>
      <c r="L154">
        <v>9.81</v>
      </c>
    </row>
    <row r="155" spans="1:12" x14ac:dyDescent="0.3">
      <c r="A155" s="11">
        <v>2.5499999999999998</v>
      </c>
      <c r="B155" s="12">
        <v>-1.023E-2</v>
      </c>
      <c r="C155" s="13">
        <v>2.609</v>
      </c>
      <c r="D155" s="15">
        <v>0.23</v>
      </c>
      <c r="E155" s="17">
        <f t="shared" si="8"/>
        <v>2.6191183631138171</v>
      </c>
      <c r="F155" s="14">
        <f t="shared" si="9"/>
        <v>-2.0914252920000002E-3</v>
      </c>
      <c r="G155" s="16">
        <f t="shared" si="10"/>
        <v>7.1478918020000018E-2</v>
      </c>
      <c r="H155" s="18">
        <f t="shared" si="11"/>
        <v>6.9387492728000016E-2</v>
      </c>
      <c r="K155">
        <v>2.0840000000000001E-2</v>
      </c>
      <c r="L155">
        <v>9.81</v>
      </c>
    </row>
    <row r="156" spans="1:12" x14ac:dyDescent="0.3">
      <c r="A156" s="11">
        <v>2.5670000000000002</v>
      </c>
      <c r="B156" s="12">
        <v>-7.6730000000000001E-3</v>
      </c>
      <c r="C156" s="13">
        <v>2.6850000000000001</v>
      </c>
      <c r="D156" s="15">
        <v>0.23</v>
      </c>
      <c r="E156" s="17">
        <f t="shared" si="8"/>
        <v>2.694833018945701</v>
      </c>
      <c r="F156" s="14">
        <f t="shared" si="9"/>
        <v>-1.5686711892000003E-3</v>
      </c>
      <c r="G156" s="16">
        <f t="shared" si="10"/>
        <v>7.5671342500000016E-2</v>
      </c>
      <c r="H156" s="18">
        <f t="shared" si="11"/>
        <v>7.410267131080002E-2</v>
      </c>
      <c r="K156">
        <v>2.0840000000000001E-2</v>
      </c>
      <c r="L156">
        <v>9.81</v>
      </c>
    </row>
    <row r="157" spans="1:12" x14ac:dyDescent="0.3">
      <c r="A157" s="11">
        <v>2.5830000000000002</v>
      </c>
      <c r="B157" s="12">
        <v>-2.5579999999999999E-3</v>
      </c>
      <c r="C157" s="13">
        <v>2.532</v>
      </c>
      <c r="D157" s="15">
        <v>0.307</v>
      </c>
      <c r="E157" s="17">
        <f t="shared" si="8"/>
        <v>2.5505436675344337</v>
      </c>
      <c r="F157" s="14">
        <f t="shared" si="9"/>
        <v>-5.2295854320000008E-4</v>
      </c>
      <c r="G157" s="16">
        <f t="shared" si="10"/>
        <v>6.7784944659999999E-2</v>
      </c>
      <c r="H157" s="18">
        <f t="shared" si="11"/>
        <v>6.7261986116799996E-2</v>
      </c>
      <c r="K157">
        <v>2.0840000000000001E-2</v>
      </c>
      <c r="L157">
        <v>9.81</v>
      </c>
    </row>
    <row r="158" spans="1:12" x14ac:dyDescent="0.3">
      <c r="A158" s="11">
        <v>2.6</v>
      </c>
      <c r="B158" s="12">
        <v>2.5579999999999999E-3</v>
      </c>
      <c r="C158" s="13">
        <v>2.302</v>
      </c>
      <c r="D158" s="15">
        <v>0.38400000000000001</v>
      </c>
      <c r="E158" s="17">
        <f t="shared" si="8"/>
        <v>2.3338080469481635</v>
      </c>
      <c r="F158" s="14">
        <f t="shared" si="9"/>
        <v>5.2295854320000008E-4</v>
      </c>
      <c r="G158" s="16">
        <f t="shared" si="10"/>
        <v>5.6754197200000016E-2</v>
      </c>
      <c r="H158" s="18">
        <f t="shared" si="11"/>
        <v>5.7277155743200019E-2</v>
      </c>
      <c r="K158">
        <v>2.0840000000000001E-2</v>
      </c>
      <c r="L158">
        <v>9.81</v>
      </c>
    </row>
    <row r="159" spans="1:12" x14ac:dyDescent="0.3">
      <c r="A159" s="11">
        <v>2.617</v>
      </c>
      <c r="B159" s="12">
        <v>1.023E-2</v>
      </c>
      <c r="C159" s="13">
        <v>2.379</v>
      </c>
      <c r="D159" s="15">
        <v>0.53700000000000003</v>
      </c>
      <c r="E159" s="17">
        <f t="shared" si="8"/>
        <v>2.4388542391869179</v>
      </c>
      <c r="F159" s="14">
        <f t="shared" si="9"/>
        <v>2.0914252920000002E-3</v>
      </c>
      <c r="G159" s="16">
        <f t="shared" si="10"/>
        <v>6.1978264200000001E-2</v>
      </c>
      <c r="H159" s="18">
        <f t="shared" si="11"/>
        <v>6.4069689491999995E-2</v>
      </c>
      <c r="K159">
        <v>2.0840000000000001E-2</v>
      </c>
      <c r="L159">
        <v>9.81</v>
      </c>
    </row>
    <row r="160" spans="1:12" x14ac:dyDescent="0.3">
      <c r="A160" s="11">
        <v>2.633</v>
      </c>
      <c r="B160" s="12">
        <v>2.0459999999999999E-2</v>
      </c>
      <c r="C160" s="13">
        <v>2.4550000000000001</v>
      </c>
      <c r="D160" s="15">
        <v>0.76700000000000002</v>
      </c>
      <c r="E160" s="17">
        <f t="shared" si="8"/>
        <v>2.5720252720375822</v>
      </c>
      <c r="F160" s="14">
        <f t="shared" si="9"/>
        <v>4.1828505840000004E-3</v>
      </c>
      <c r="G160" s="16">
        <f t="shared" si="10"/>
        <v>6.8931571879999987E-2</v>
      </c>
      <c r="H160" s="18">
        <f t="shared" si="11"/>
        <v>7.311442246399999E-2</v>
      </c>
      <c r="K160">
        <v>2.0840000000000001E-2</v>
      </c>
      <c r="L160">
        <v>9.81</v>
      </c>
    </row>
    <row r="161" spans="1:12" x14ac:dyDescent="0.3">
      <c r="A161" s="11">
        <v>2.65</v>
      </c>
      <c r="B161" s="12">
        <v>3.5810000000000002E-2</v>
      </c>
      <c r="C161" s="13">
        <v>2.532</v>
      </c>
      <c r="D161" s="15">
        <v>0.76700000000000002</v>
      </c>
      <c r="E161" s="17">
        <f t="shared" si="8"/>
        <v>2.6456214770824644</v>
      </c>
      <c r="F161" s="14">
        <f t="shared" si="9"/>
        <v>7.3210107240000008E-3</v>
      </c>
      <c r="G161" s="16">
        <f t="shared" si="10"/>
        <v>7.2932841460000009E-2</v>
      </c>
      <c r="H161" s="18">
        <f t="shared" si="11"/>
        <v>8.025385218400001E-2</v>
      </c>
      <c r="K161">
        <v>2.0840000000000001E-2</v>
      </c>
      <c r="L161">
        <v>9.81</v>
      </c>
    </row>
    <row r="162" spans="1:12" x14ac:dyDescent="0.3">
      <c r="A162" s="11">
        <v>2.6669999999999998</v>
      </c>
      <c r="B162" s="12">
        <v>4.6039999999999998E-2</v>
      </c>
      <c r="C162" s="13">
        <v>2.2250000000000001</v>
      </c>
      <c r="D162" s="15">
        <v>0.69099999999999995</v>
      </c>
      <c r="E162" s="17">
        <f t="shared" si="8"/>
        <v>2.3298296075035188</v>
      </c>
      <c r="F162" s="14">
        <f t="shared" si="9"/>
        <v>9.4124360160000014E-3</v>
      </c>
      <c r="G162" s="16">
        <f t="shared" si="10"/>
        <v>5.6560864520000011E-2</v>
      </c>
      <c r="H162" s="18">
        <f t="shared" si="11"/>
        <v>6.5973300536000007E-2</v>
      </c>
      <c r="K162">
        <v>2.0840000000000001E-2</v>
      </c>
      <c r="L162">
        <v>9.81</v>
      </c>
    </row>
    <row r="163" spans="1:12" x14ac:dyDescent="0.3">
      <c r="A163" s="11">
        <v>2.6829999999999998</v>
      </c>
      <c r="B163" s="12">
        <v>5.8819999999999997E-2</v>
      </c>
      <c r="C163" s="13">
        <v>1.7649999999999999</v>
      </c>
      <c r="D163" s="15">
        <v>0.92100000000000004</v>
      </c>
      <c r="E163" s="17">
        <f t="shared" si="8"/>
        <v>1.9908455490067529</v>
      </c>
      <c r="F163" s="14">
        <f t="shared" si="9"/>
        <v>1.2025184328E-2</v>
      </c>
      <c r="G163" s="16">
        <f t="shared" si="10"/>
        <v>4.1299315719999993E-2</v>
      </c>
      <c r="H163" s="18">
        <f t="shared" si="11"/>
        <v>5.332450004799999E-2</v>
      </c>
      <c r="K163">
        <v>2.0840000000000001E-2</v>
      </c>
      <c r="L163">
        <v>9.81</v>
      </c>
    </row>
    <row r="164" spans="1:12" x14ac:dyDescent="0.3">
      <c r="A164" s="11">
        <v>2.7</v>
      </c>
      <c r="B164" s="12">
        <v>7.6730000000000007E-2</v>
      </c>
      <c r="C164" s="13">
        <v>1.9950000000000001</v>
      </c>
      <c r="D164" s="15">
        <v>1.0740000000000001</v>
      </c>
      <c r="E164" s="17">
        <f t="shared" si="8"/>
        <v>2.265723063394995</v>
      </c>
      <c r="F164" s="14">
        <f t="shared" si="9"/>
        <v>1.5686711892000004E-2</v>
      </c>
      <c r="G164" s="16">
        <f t="shared" si="10"/>
        <v>5.349108042000001E-2</v>
      </c>
      <c r="H164" s="18">
        <f t="shared" si="11"/>
        <v>6.9177792312000011E-2</v>
      </c>
      <c r="K164">
        <v>2.0840000000000001E-2</v>
      </c>
      <c r="L164">
        <v>9.81</v>
      </c>
    </row>
    <row r="165" spans="1:12" x14ac:dyDescent="0.3">
      <c r="A165" s="11">
        <v>2.7170000000000001</v>
      </c>
      <c r="B165" s="12">
        <v>9.4630000000000006E-2</v>
      </c>
      <c r="C165" s="13">
        <v>2.0720000000000001</v>
      </c>
      <c r="D165" s="15">
        <v>0.76700000000000002</v>
      </c>
      <c r="E165" s="17">
        <f t="shared" si="8"/>
        <v>2.2094055761674904</v>
      </c>
      <c r="F165" s="14">
        <f t="shared" si="9"/>
        <v>1.9346195052000002E-2</v>
      </c>
      <c r="G165" s="16">
        <f t="shared" si="10"/>
        <v>5.0864948660000006E-2</v>
      </c>
      <c r="H165" s="18">
        <f t="shared" si="11"/>
        <v>7.0211143712000004E-2</v>
      </c>
      <c r="K165">
        <v>2.0840000000000001E-2</v>
      </c>
      <c r="L165">
        <v>9.81</v>
      </c>
    </row>
    <row r="166" spans="1:12" x14ac:dyDescent="0.3">
      <c r="A166" s="11">
        <v>2.7330000000000001</v>
      </c>
      <c r="B166" s="12">
        <v>0.10199999999999999</v>
      </c>
      <c r="C166" s="13">
        <v>1.841</v>
      </c>
      <c r="D166" s="15">
        <v>0.61399999999999999</v>
      </c>
      <c r="E166" s="17">
        <f t="shared" si="8"/>
        <v>1.9406898258093692</v>
      </c>
      <c r="F166" s="14">
        <f t="shared" si="9"/>
        <v>2.0852920800000001E-2</v>
      </c>
      <c r="G166" s="16">
        <f t="shared" si="10"/>
        <v>3.9244606339999995E-2</v>
      </c>
      <c r="H166" s="18">
        <f t="shared" si="11"/>
        <v>6.0097527139999996E-2</v>
      </c>
      <c r="K166">
        <v>2.0840000000000001E-2</v>
      </c>
      <c r="L166">
        <v>9.81</v>
      </c>
    </row>
    <row r="167" spans="1:12" x14ac:dyDescent="0.3">
      <c r="A167" s="11">
        <v>2.75</v>
      </c>
      <c r="B167" s="12">
        <v>0.115</v>
      </c>
      <c r="C167" s="13">
        <v>1.6879999999999999</v>
      </c>
      <c r="D167" s="15">
        <v>0.84399999999999997</v>
      </c>
      <c r="E167" s="17">
        <f t="shared" si="8"/>
        <v>1.8872413730098225</v>
      </c>
      <c r="F167" s="14">
        <f t="shared" si="9"/>
        <v>2.3510646000000003E-2</v>
      </c>
      <c r="G167" s="16">
        <f t="shared" si="10"/>
        <v>3.7112705600000004E-2</v>
      </c>
      <c r="H167" s="18">
        <f t="shared" si="11"/>
        <v>6.0623351600000007E-2</v>
      </c>
      <c r="K167">
        <v>2.0840000000000001E-2</v>
      </c>
      <c r="L167">
        <v>9.81</v>
      </c>
    </row>
    <row r="168" spans="1:12" x14ac:dyDescent="0.3">
      <c r="A168" s="11">
        <v>2.7669999999999999</v>
      </c>
      <c r="B168" s="12">
        <v>0.13</v>
      </c>
      <c r="C168" s="13">
        <v>1.6879999999999999</v>
      </c>
      <c r="D168" s="15">
        <v>0.76700000000000002</v>
      </c>
      <c r="E168" s="17">
        <f t="shared" si="8"/>
        <v>1.8540854888596696</v>
      </c>
      <c r="F168" s="14">
        <f t="shared" si="9"/>
        <v>2.6577252000000003E-2</v>
      </c>
      <c r="G168" s="16">
        <f t="shared" si="10"/>
        <v>3.5820135859999998E-2</v>
      </c>
      <c r="H168" s="18">
        <f t="shared" si="11"/>
        <v>6.239738786E-2</v>
      </c>
      <c r="K168">
        <v>2.0840000000000001E-2</v>
      </c>
      <c r="L168">
        <v>9.81</v>
      </c>
    </row>
    <row r="169" spans="1:12" x14ac:dyDescent="0.3">
      <c r="A169" s="11">
        <v>2.7829999999999999</v>
      </c>
      <c r="B169" s="12">
        <v>0.14099999999999999</v>
      </c>
      <c r="C169" s="13">
        <v>1.6879999999999999</v>
      </c>
      <c r="D169" s="15">
        <v>0.84399999999999997</v>
      </c>
      <c r="E169" s="17">
        <f t="shared" si="8"/>
        <v>1.8872413730098225</v>
      </c>
      <c r="F169" s="14">
        <f t="shared" si="9"/>
        <v>2.8826096400000001E-2</v>
      </c>
      <c r="G169" s="16">
        <f t="shared" si="10"/>
        <v>3.7112705600000004E-2</v>
      </c>
      <c r="H169" s="18">
        <f t="shared" si="11"/>
        <v>6.5938802000000005E-2</v>
      </c>
      <c r="K169">
        <v>2.0840000000000001E-2</v>
      </c>
      <c r="L169">
        <v>9.81</v>
      </c>
    </row>
    <row r="170" spans="1:12" x14ac:dyDescent="0.3">
      <c r="A170" s="11">
        <v>2.8</v>
      </c>
      <c r="B170" s="12">
        <v>0.159</v>
      </c>
      <c r="C170" s="13">
        <v>1.458</v>
      </c>
      <c r="D170" s="15">
        <v>0.92100000000000004</v>
      </c>
      <c r="E170" s="17">
        <f t="shared" si="8"/>
        <v>1.7245303708546278</v>
      </c>
      <c r="F170" s="14">
        <f t="shared" si="9"/>
        <v>3.2506023600000003E-2</v>
      </c>
      <c r="G170" s="16">
        <f t="shared" si="10"/>
        <v>3.09891321E-2</v>
      </c>
      <c r="H170" s="18">
        <f t="shared" si="11"/>
        <v>6.34951557E-2</v>
      </c>
      <c r="K170">
        <v>2.0840000000000001E-2</v>
      </c>
      <c r="L170">
        <v>9.81</v>
      </c>
    </row>
    <row r="171" spans="1:12" x14ac:dyDescent="0.3">
      <c r="A171" s="11">
        <v>2.8170000000000002</v>
      </c>
      <c r="B171" s="12">
        <v>0.17100000000000001</v>
      </c>
      <c r="C171" s="13">
        <v>1.381</v>
      </c>
      <c r="D171" s="15">
        <v>0.76700000000000002</v>
      </c>
      <c r="E171" s="17">
        <f t="shared" si="8"/>
        <v>1.5796993384818516</v>
      </c>
      <c r="F171" s="14">
        <f t="shared" si="9"/>
        <v>3.4959308400000007E-2</v>
      </c>
      <c r="G171" s="16">
        <f t="shared" si="10"/>
        <v>2.6002588999999996E-2</v>
      </c>
      <c r="H171" s="18">
        <f t="shared" si="11"/>
        <v>6.0961897400000006E-2</v>
      </c>
      <c r="K171">
        <v>2.0840000000000001E-2</v>
      </c>
      <c r="L171">
        <v>9.81</v>
      </c>
    </row>
    <row r="172" spans="1:12" x14ac:dyDescent="0.3">
      <c r="A172" s="11">
        <v>2.8330000000000002</v>
      </c>
      <c r="B172" s="12">
        <v>0.184</v>
      </c>
      <c r="C172" s="13">
        <v>1.304</v>
      </c>
      <c r="D172" s="15">
        <v>0.92100000000000004</v>
      </c>
      <c r="E172" s="17">
        <f t="shared" si="8"/>
        <v>1.5964513772739839</v>
      </c>
      <c r="F172" s="14">
        <f t="shared" si="9"/>
        <v>3.7617033600000002E-2</v>
      </c>
      <c r="G172" s="16">
        <f t="shared" si="10"/>
        <v>2.655700594E-2</v>
      </c>
      <c r="H172" s="18">
        <f t="shared" si="11"/>
        <v>6.4174039540000005E-2</v>
      </c>
      <c r="K172">
        <v>2.0840000000000001E-2</v>
      </c>
      <c r="L172">
        <v>9.81</v>
      </c>
    </row>
    <row r="173" spans="1:12" x14ac:dyDescent="0.3">
      <c r="A173" s="11">
        <v>2.85</v>
      </c>
      <c r="B173" s="12">
        <v>0.20200000000000001</v>
      </c>
      <c r="C173" s="13">
        <v>1.151</v>
      </c>
      <c r="D173" s="15">
        <v>0.76700000000000002</v>
      </c>
      <c r="E173" s="17">
        <f t="shared" si="8"/>
        <v>1.3831449670949174</v>
      </c>
      <c r="F173" s="14">
        <f t="shared" si="9"/>
        <v>4.1296960800000004E-2</v>
      </c>
      <c r="G173" s="16">
        <f t="shared" si="10"/>
        <v>1.9934397800000003E-2</v>
      </c>
      <c r="H173" s="18">
        <f t="shared" si="11"/>
        <v>6.1231358600000008E-2</v>
      </c>
      <c r="K173">
        <v>2.0840000000000001E-2</v>
      </c>
      <c r="L173">
        <v>9.81</v>
      </c>
    </row>
    <row r="174" spans="1:12" x14ac:dyDescent="0.3">
      <c r="A174" s="11">
        <v>2.867</v>
      </c>
      <c r="B174" s="12">
        <v>0.21</v>
      </c>
      <c r="C174" s="13">
        <v>1.151</v>
      </c>
      <c r="D174" s="15">
        <v>0.53700000000000003</v>
      </c>
      <c r="E174" s="17">
        <f t="shared" si="8"/>
        <v>1.2701062947643398</v>
      </c>
      <c r="F174" s="14">
        <f t="shared" si="9"/>
        <v>4.2932484E-2</v>
      </c>
      <c r="G174" s="16">
        <f t="shared" si="10"/>
        <v>1.6809231399999999E-2</v>
      </c>
      <c r="H174" s="18">
        <f t="shared" si="11"/>
        <v>5.9741715399999999E-2</v>
      </c>
      <c r="K174">
        <v>2.0840000000000001E-2</v>
      </c>
      <c r="L174">
        <v>9.81</v>
      </c>
    </row>
    <row r="175" spans="1:12" x14ac:dyDescent="0.3">
      <c r="A175" s="11">
        <v>2.883</v>
      </c>
      <c r="B175" s="12">
        <v>0.22</v>
      </c>
      <c r="C175" s="13">
        <v>0.92100000000000004</v>
      </c>
      <c r="D175" s="15">
        <v>0.69099999999999995</v>
      </c>
      <c r="E175" s="17">
        <f t="shared" si="8"/>
        <v>1.151400017370158</v>
      </c>
      <c r="F175" s="14">
        <f t="shared" si="9"/>
        <v>4.4976888000000007E-2</v>
      </c>
      <c r="G175" s="16">
        <f t="shared" si="10"/>
        <v>1.3814023240000001E-2</v>
      </c>
      <c r="H175" s="18">
        <f t="shared" si="11"/>
        <v>5.8790911240000007E-2</v>
      </c>
      <c r="K175">
        <v>2.0840000000000001E-2</v>
      </c>
      <c r="L175">
        <v>9.81</v>
      </c>
    </row>
    <row r="176" spans="1:12" x14ac:dyDescent="0.3">
      <c r="A176" s="11">
        <v>2.9</v>
      </c>
      <c r="B176" s="12">
        <v>0.23300000000000001</v>
      </c>
      <c r="C176" s="13">
        <v>0.69099999999999995</v>
      </c>
      <c r="D176" s="15">
        <v>0.76700000000000002</v>
      </c>
      <c r="E176" s="17">
        <f t="shared" si="8"/>
        <v>1.0323613708387196</v>
      </c>
      <c r="F176" s="14">
        <f t="shared" si="9"/>
        <v>4.7634613200000009E-2</v>
      </c>
      <c r="G176" s="16">
        <f t="shared" si="10"/>
        <v>1.1105323400000004E-2</v>
      </c>
      <c r="H176" s="18">
        <f t="shared" si="11"/>
        <v>5.8739936600000014E-2</v>
      </c>
      <c r="K176">
        <v>2.0840000000000001E-2</v>
      </c>
      <c r="L176">
        <v>9.81</v>
      </c>
    </row>
    <row r="177" spans="1:12" x14ac:dyDescent="0.3">
      <c r="A177" s="11">
        <v>2.9169999999999998</v>
      </c>
      <c r="B177" s="12">
        <v>0.246</v>
      </c>
      <c r="C177" s="13">
        <v>0.61399999999999999</v>
      </c>
      <c r="D177" s="15">
        <v>0.53700000000000003</v>
      </c>
      <c r="E177" s="17">
        <f t="shared" si="8"/>
        <v>0.81569908667351099</v>
      </c>
      <c r="F177" s="14">
        <f t="shared" si="9"/>
        <v>5.0292338400000004E-2</v>
      </c>
      <c r="G177" s="16">
        <f t="shared" si="10"/>
        <v>6.9331033E-3</v>
      </c>
      <c r="H177" s="18">
        <f t="shared" si="11"/>
        <v>5.7225441700000004E-2</v>
      </c>
      <c r="K177">
        <v>2.0840000000000001E-2</v>
      </c>
      <c r="L177">
        <v>9.81</v>
      </c>
    </row>
    <row r="178" spans="1:12" x14ac:dyDescent="0.3">
      <c r="A178" s="11">
        <v>2.9329999999999998</v>
      </c>
      <c r="B178" s="12">
        <v>0.251</v>
      </c>
      <c r="C178" s="13">
        <v>0.53700000000000003</v>
      </c>
      <c r="D178" s="15">
        <v>0.307</v>
      </c>
      <c r="E178" s="17">
        <f t="shared" si="8"/>
        <v>0.61856123383218897</v>
      </c>
      <c r="F178" s="14">
        <f t="shared" si="9"/>
        <v>5.1314540400000004E-2</v>
      </c>
      <c r="G178" s="16">
        <f t="shared" si="10"/>
        <v>3.98687956E-3</v>
      </c>
      <c r="H178" s="18">
        <f t="shared" si="11"/>
        <v>5.5301419960000001E-2</v>
      </c>
      <c r="K178">
        <v>2.0840000000000001E-2</v>
      </c>
      <c r="L178">
        <v>9.81</v>
      </c>
    </row>
    <row r="179" spans="1:12" x14ac:dyDescent="0.3">
      <c r="A179" s="11">
        <v>2.95</v>
      </c>
      <c r="B179" s="12">
        <v>0.25600000000000001</v>
      </c>
      <c r="C179" s="13">
        <v>0.46</v>
      </c>
      <c r="D179" s="15">
        <v>0.46</v>
      </c>
      <c r="E179" s="17">
        <f t="shared" si="8"/>
        <v>0.65053823869162375</v>
      </c>
      <c r="F179" s="14">
        <f t="shared" si="9"/>
        <v>5.2336742400000004E-2</v>
      </c>
      <c r="G179" s="16">
        <f t="shared" si="10"/>
        <v>4.4097440000000002E-3</v>
      </c>
      <c r="H179" s="18">
        <f t="shared" si="11"/>
        <v>5.6746486400000004E-2</v>
      </c>
      <c r="K179">
        <v>2.0840000000000001E-2</v>
      </c>
      <c r="L179">
        <v>9.81</v>
      </c>
    </row>
    <row r="180" spans="1:12" x14ac:dyDescent="0.3">
      <c r="A180" s="11">
        <v>2.9670000000000001</v>
      </c>
      <c r="B180" s="12">
        <v>0.26600000000000001</v>
      </c>
      <c r="C180" s="13">
        <v>0.46</v>
      </c>
      <c r="D180" s="15">
        <v>0.46</v>
      </c>
      <c r="E180" s="17">
        <f t="shared" si="8"/>
        <v>0.65053823869162375</v>
      </c>
      <c r="F180" s="14">
        <f t="shared" si="9"/>
        <v>5.4381146400000011E-2</v>
      </c>
      <c r="G180" s="16">
        <f t="shared" si="10"/>
        <v>4.4097440000000002E-3</v>
      </c>
      <c r="H180" s="18">
        <f t="shared" si="11"/>
        <v>5.8790890400000011E-2</v>
      </c>
      <c r="K180">
        <v>2.0840000000000001E-2</v>
      </c>
      <c r="L180">
        <v>9.81</v>
      </c>
    </row>
    <row r="181" spans="1:12" x14ac:dyDescent="0.3">
      <c r="A181" s="11">
        <v>2.9830000000000001</v>
      </c>
      <c r="B181" s="12">
        <v>0.27100000000000002</v>
      </c>
      <c r="C181" s="13">
        <v>0.307</v>
      </c>
      <c r="D181" s="15">
        <v>0.23</v>
      </c>
      <c r="E181" s="17">
        <f t="shared" si="8"/>
        <v>0.38360005213763981</v>
      </c>
      <c r="F181" s="14">
        <f t="shared" si="9"/>
        <v>5.540334840000001E-2</v>
      </c>
      <c r="G181" s="16">
        <f t="shared" si="10"/>
        <v>1.5332925799999998E-3</v>
      </c>
      <c r="H181" s="18">
        <f t="shared" si="11"/>
        <v>5.6936640980000008E-2</v>
      </c>
      <c r="K181">
        <v>2.0840000000000001E-2</v>
      </c>
      <c r="L181">
        <v>9.81</v>
      </c>
    </row>
    <row r="182" spans="1:12" x14ac:dyDescent="0.3">
      <c r="A182" s="11">
        <v>3</v>
      </c>
      <c r="B182" s="12">
        <v>0.27400000000000002</v>
      </c>
      <c r="C182" s="13">
        <v>7.6730000000000007E-2</v>
      </c>
      <c r="D182" s="15">
        <v>0.153</v>
      </c>
      <c r="E182" s="17">
        <f t="shared" si="8"/>
        <v>0.17116218303118244</v>
      </c>
      <c r="F182" s="14">
        <f t="shared" si="9"/>
        <v>5.6016669600000013E-2</v>
      </c>
      <c r="G182" s="16">
        <f t="shared" si="10"/>
        <v>3.0526945601799999E-4</v>
      </c>
      <c r="H182" s="18">
        <f t="shared" si="11"/>
        <v>5.6321939056018011E-2</v>
      </c>
      <c r="K182">
        <v>2.0840000000000001E-2</v>
      </c>
      <c r="L182">
        <v>9.81</v>
      </c>
    </row>
    <row r="183" spans="1:12" x14ac:dyDescent="0.3">
      <c r="A183" s="11">
        <v>3.0169999999999999</v>
      </c>
      <c r="B183" s="12">
        <v>0.27600000000000002</v>
      </c>
      <c r="C183" s="13">
        <v>-7.6730000000000007E-2</v>
      </c>
      <c r="D183" s="15">
        <v>-7.6730000000000007E-2</v>
      </c>
      <c r="E183" s="17">
        <f t="shared" si="8"/>
        <v>0.10851260664088759</v>
      </c>
      <c r="F183" s="14">
        <f t="shared" si="9"/>
        <v>5.642555040000001E-2</v>
      </c>
      <c r="G183" s="16">
        <f t="shared" si="10"/>
        <v>1.2269535203600002E-4</v>
      </c>
      <c r="H183" s="18">
        <f t="shared" si="11"/>
        <v>5.6548245752036007E-2</v>
      </c>
      <c r="K183">
        <v>2.0840000000000001E-2</v>
      </c>
      <c r="L183">
        <v>9.81</v>
      </c>
    </row>
    <row r="184" spans="1:12" x14ac:dyDescent="0.3">
      <c r="A184" s="11">
        <v>3.0329999999999999</v>
      </c>
      <c r="B184" s="12">
        <v>0.27100000000000002</v>
      </c>
      <c r="C184" s="13">
        <v>0</v>
      </c>
      <c r="D184" s="15">
        <v>-7.6730000000000007E-2</v>
      </c>
      <c r="E184" s="17">
        <f t="shared" si="8"/>
        <v>7.6730000000000007E-2</v>
      </c>
      <c r="F184" s="14">
        <f t="shared" si="9"/>
        <v>5.540334840000001E-2</v>
      </c>
      <c r="G184" s="16">
        <f t="shared" si="10"/>
        <v>6.1347676018000009E-5</v>
      </c>
      <c r="H184" s="18">
        <f t="shared" si="11"/>
        <v>5.5464696076018012E-2</v>
      </c>
      <c r="K184">
        <v>2.0840000000000001E-2</v>
      </c>
      <c r="L184">
        <v>9.81</v>
      </c>
    </row>
    <row r="185" spans="1:12" x14ac:dyDescent="0.3">
      <c r="A185" s="11">
        <v>3.05</v>
      </c>
      <c r="B185" s="12">
        <v>0.27400000000000002</v>
      </c>
      <c r="C185" s="13">
        <v>0</v>
      </c>
      <c r="D185" s="15">
        <v>0</v>
      </c>
      <c r="E185" s="17">
        <f t="shared" si="8"/>
        <v>0</v>
      </c>
      <c r="F185" s="14">
        <f t="shared" si="9"/>
        <v>5.6016669600000013E-2</v>
      </c>
      <c r="G185" s="16">
        <f t="shared" si="10"/>
        <v>0</v>
      </c>
      <c r="H185" s="18">
        <f t="shared" si="11"/>
        <v>5.6016669600000013E-2</v>
      </c>
      <c r="K185">
        <v>2.0840000000000001E-2</v>
      </c>
      <c r="L185">
        <v>9.81</v>
      </c>
    </row>
    <row r="186" spans="1:12" x14ac:dyDescent="0.3">
      <c r="A186" s="11">
        <v>3.0670000000000002</v>
      </c>
      <c r="B186" s="12">
        <v>0.27100000000000002</v>
      </c>
      <c r="C186" s="13">
        <v>-0.23</v>
      </c>
      <c r="D186" s="15">
        <v>-0.23</v>
      </c>
      <c r="E186" s="17">
        <f t="shared" si="8"/>
        <v>0.32526911934581187</v>
      </c>
      <c r="F186" s="14">
        <f t="shared" si="9"/>
        <v>5.540334840000001E-2</v>
      </c>
      <c r="G186" s="16">
        <f t="shared" si="10"/>
        <v>1.102436E-3</v>
      </c>
      <c r="H186" s="18">
        <f t="shared" si="11"/>
        <v>5.6505784400000009E-2</v>
      </c>
      <c r="K186">
        <v>2.0840000000000001E-2</v>
      </c>
      <c r="L186">
        <v>9.81</v>
      </c>
    </row>
    <row r="187" spans="1:12" x14ac:dyDescent="0.3">
      <c r="A187" s="11">
        <v>3.0830000000000002</v>
      </c>
      <c r="B187" s="12">
        <v>0.26600000000000001</v>
      </c>
      <c r="C187" s="13">
        <v>-0.46</v>
      </c>
      <c r="D187" s="15">
        <v>-0.153</v>
      </c>
      <c r="E187" s="17">
        <f t="shared" si="8"/>
        <v>0.48477726844397317</v>
      </c>
      <c r="F187" s="14">
        <f t="shared" si="9"/>
        <v>5.4381146400000011E-2</v>
      </c>
      <c r="G187" s="16">
        <f t="shared" si="10"/>
        <v>2.4487937800000002E-3</v>
      </c>
      <c r="H187" s="18">
        <f t="shared" si="11"/>
        <v>5.682994018000001E-2</v>
      </c>
      <c r="K187">
        <v>2.0840000000000001E-2</v>
      </c>
      <c r="L187">
        <v>9.81</v>
      </c>
    </row>
    <row r="188" spans="1:12" x14ac:dyDescent="0.3">
      <c r="A188" s="11">
        <v>3.1</v>
      </c>
      <c r="B188" s="12">
        <v>0.26600000000000001</v>
      </c>
      <c r="C188" s="13">
        <v>-0.53700000000000003</v>
      </c>
      <c r="D188" s="15">
        <v>-0.307</v>
      </c>
      <c r="E188" s="17">
        <f t="shared" si="8"/>
        <v>0.61856123383218897</v>
      </c>
      <c r="F188" s="14">
        <f t="shared" si="9"/>
        <v>5.4381146400000011E-2</v>
      </c>
      <c r="G188" s="16">
        <f t="shared" si="10"/>
        <v>3.98687956E-3</v>
      </c>
      <c r="H188" s="18">
        <f t="shared" si="11"/>
        <v>5.8368025960000014E-2</v>
      </c>
      <c r="K188">
        <v>2.0840000000000001E-2</v>
      </c>
      <c r="L188">
        <v>9.81</v>
      </c>
    </row>
    <row r="189" spans="1:12" x14ac:dyDescent="0.3">
      <c r="A189" s="11">
        <v>3.117</v>
      </c>
      <c r="B189" s="12">
        <v>0.25600000000000001</v>
      </c>
      <c r="C189" s="13">
        <v>-0.46</v>
      </c>
      <c r="D189" s="15">
        <v>-0.46</v>
      </c>
      <c r="E189" s="17">
        <f t="shared" si="8"/>
        <v>0.65053823869162375</v>
      </c>
      <c r="F189" s="14">
        <f t="shared" si="9"/>
        <v>5.2336742400000004E-2</v>
      </c>
      <c r="G189" s="16">
        <f t="shared" si="10"/>
        <v>4.4097440000000002E-3</v>
      </c>
      <c r="H189" s="18">
        <f t="shared" si="11"/>
        <v>5.6746486400000004E-2</v>
      </c>
      <c r="K189">
        <v>2.0840000000000001E-2</v>
      </c>
      <c r="L189">
        <v>9.81</v>
      </c>
    </row>
    <row r="190" spans="1:12" x14ac:dyDescent="0.3">
      <c r="A190" s="11">
        <v>3.133</v>
      </c>
      <c r="B190" s="12">
        <v>0.251</v>
      </c>
      <c r="C190" s="13">
        <v>-0.69099999999999995</v>
      </c>
      <c r="D190" s="15">
        <v>-0.53700000000000003</v>
      </c>
      <c r="E190" s="17">
        <f t="shared" si="8"/>
        <v>0.87512856198389499</v>
      </c>
      <c r="F190" s="14">
        <f t="shared" si="9"/>
        <v>5.1314540400000004E-2</v>
      </c>
      <c r="G190" s="16">
        <f t="shared" si="10"/>
        <v>7.9801569999999999E-3</v>
      </c>
      <c r="H190" s="18">
        <f t="shared" si="11"/>
        <v>5.9294697400000006E-2</v>
      </c>
      <c r="K190">
        <v>2.0840000000000001E-2</v>
      </c>
      <c r="L190">
        <v>9.81</v>
      </c>
    </row>
    <row r="191" spans="1:12" x14ac:dyDescent="0.3">
      <c r="A191" s="11">
        <v>3.15</v>
      </c>
      <c r="B191" s="12">
        <v>0.23799999999999999</v>
      </c>
      <c r="C191" s="13">
        <v>-0.84399999999999997</v>
      </c>
      <c r="D191" s="15">
        <v>-0.53700000000000003</v>
      </c>
      <c r="E191" s="17">
        <f t="shared" si="8"/>
        <v>1.0003524378937656</v>
      </c>
      <c r="F191" s="14">
        <f t="shared" si="9"/>
        <v>4.8656815200000002E-2</v>
      </c>
      <c r="G191" s="16">
        <f t="shared" si="10"/>
        <v>1.0427346100000002E-2</v>
      </c>
      <c r="H191" s="18">
        <f t="shared" si="11"/>
        <v>5.9084161300000007E-2</v>
      </c>
      <c r="K191">
        <v>2.0840000000000001E-2</v>
      </c>
      <c r="L191">
        <v>9.81</v>
      </c>
    </row>
    <row r="192" spans="1:12" x14ac:dyDescent="0.3">
      <c r="A192" s="11">
        <v>3.1669999999999998</v>
      </c>
      <c r="B192" s="12">
        <v>0.23300000000000001</v>
      </c>
      <c r="C192" s="13">
        <v>-0.76700000000000002</v>
      </c>
      <c r="D192" s="15">
        <v>-0.76700000000000002</v>
      </c>
      <c r="E192" s="17">
        <f t="shared" si="8"/>
        <v>1.084701802340164</v>
      </c>
      <c r="F192" s="14">
        <f t="shared" si="9"/>
        <v>4.7634613200000009E-2</v>
      </c>
      <c r="G192" s="16">
        <f t="shared" si="10"/>
        <v>1.2259942760000002E-2</v>
      </c>
      <c r="H192" s="18">
        <f t="shared" si="11"/>
        <v>5.9894555960000012E-2</v>
      </c>
      <c r="K192">
        <v>2.0840000000000001E-2</v>
      </c>
      <c r="L192">
        <v>9.81</v>
      </c>
    </row>
    <row r="193" spans="1:12" x14ac:dyDescent="0.3">
      <c r="A193" s="11">
        <v>3.1829999999999998</v>
      </c>
      <c r="B193" s="12">
        <v>0.21199999999999999</v>
      </c>
      <c r="C193" s="13">
        <v>-0.997</v>
      </c>
      <c r="D193" s="15">
        <v>-0.92100000000000004</v>
      </c>
      <c r="E193" s="17">
        <f t="shared" si="8"/>
        <v>1.3572951042422572</v>
      </c>
      <c r="F193" s="14">
        <f t="shared" si="9"/>
        <v>4.3341364800000004E-2</v>
      </c>
      <c r="G193" s="16">
        <f t="shared" si="10"/>
        <v>1.9196244999999997E-2</v>
      </c>
      <c r="H193" s="18">
        <f t="shared" si="11"/>
        <v>6.2537609800000005E-2</v>
      </c>
      <c r="K193">
        <v>2.0840000000000001E-2</v>
      </c>
      <c r="L193">
        <v>9.81</v>
      </c>
    </row>
    <row r="194" spans="1:12" x14ac:dyDescent="0.3">
      <c r="A194" s="11">
        <v>3.2</v>
      </c>
      <c r="B194" s="12">
        <v>0.20200000000000001</v>
      </c>
      <c r="C194" s="13">
        <v>-1.304</v>
      </c>
      <c r="D194" s="15">
        <v>-0.69099999999999995</v>
      </c>
      <c r="E194" s="17">
        <f t="shared" si="8"/>
        <v>1.4757699685249053</v>
      </c>
      <c r="F194" s="14">
        <f t="shared" si="9"/>
        <v>4.1296960800000004E-2</v>
      </c>
      <c r="G194" s="16">
        <f t="shared" si="10"/>
        <v>2.269368674E-2</v>
      </c>
      <c r="H194" s="18">
        <f t="shared" si="11"/>
        <v>6.3990647540000001E-2</v>
      </c>
      <c r="K194">
        <v>2.0840000000000001E-2</v>
      </c>
      <c r="L194">
        <v>9.81</v>
      </c>
    </row>
    <row r="195" spans="1:12" x14ac:dyDescent="0.3">
      <c r="A195" s="11">
        <v>3.2170000000000001</v>
      </c>
      <c r="B195" s="12">
        <v>0.189</v>
      </c>
      <c r="C195" s="13">
        <v>-1.304</v>
      </c>
      <c r="D195" s="15">
        <v>-0.84399999999999997</v>
      </c>
      <c r="E195" s="17">
        <f t="shared" ref="E195:E258" si="12">SQRT((C195)^(2)+(D195)^(2))</f>
        <v>1.5533035762528844</v>
      </c>
      <c r="F195" s="14">
        <f t="shared" ref="F195:F258" si="13">(K195*L195*B195)</f>
        <v>3.8639235600000002E-2</v>
      </c>
      <c r="G195" s="16">
        <f t="shared" ref="G195:G258" si="14">(K195*(E195)^(2))/(2)</f>
        <v>2.5140875840000004E-2</v>
      </c>
      <c r="H195" s="18">
        <f t="shared" si="11"/>
        <v>6.3780111440000009E-2</v>
      </c>
      <c r="K195">
        <v>2.0840000000000001E-2</v>
      </c>
      <c r="L195">
        <v>9.81</v>
      </c>
    </row>
    <row r="196" spans="1:12" x14ac:dyDescent="0.3">
      <c r="A196" s="11">
        <v>3.2330000000000001</v>
      </c>
      <c r="B196" s="12">
        <v>0.17399999999999999</v>
      </c>
      <c r="C196" s="13">
        <v>-1.381</v>
      </c>
      <c r="D196" s="15">
        <v>-0.997</v>
      </c>
      <c r="E196" s="17">
        <f t="shared" si="12"/>
        <v>1.7032821257795199</v>
      </c>
      <c r="F196" s="14">
        <f t="shared" si="13"/>
        <v>3.5572629600000003E-2</v>
      </c>
      <c r="G196" s="16">
        <f t="shared" si="14"/>
        <v>3.0230191400000002E-2</v>
      </c>
      <c r="H196" s="18">
        <f t="shared" ref="H196:H259" si="15">(F196+G196)</f>
        <v>6.5802821000000011E-2</v>
      </c>
      <c r="K196">
        <v>2.0840000000000001E-2</v>
      </c>
      <c r="L196">
        <v>9.81</v>
      </c>
    </row>
    <row r="197" spans="1:12" x14ac:dyDescent="0.3">
      <c r="A197" s="11">
        <v>3.25</v>
      </c>
      <c r="B197" s="12">
        <v>0.156</v>
      </c>
      <c r="C197" s="13">
        <v>-1.5349999999999999</v>
      </c>
      <c r="D197" s="15">
        <v>-0.76700000000000002</v>
      </c>
      <c r="E197" s="17">
        <f t="shared" si="12"/>
        <v>1.7159586242098031</v>
      </c>
      <c r="F197" s="14">
        <f t="shared" si="13"/>
        <v>3.18927024E-2</v>
      </c>
      <c r="G197" s="16">
        <f t="shared" si="14"/>
        <v>3.0681835880000004E-2</v>
      </c>
      <c r="H197" s="18">
        <f t="shared" si="15"/>
        <v>6.2574538280000008E-2</v>
      </c>
      <c r="K197">
        <v>2.0840000000000001E-2</v>
      </c>
      <c r="L197">
        <v>9.81</v>
      </c>
    </row>
    <row r="198" spans="1:12" x14ac:dyDescent="0.3">
      <c r="A198" s="11">
        <v>3.2669999999999999</v>
      </c>
      <c r="B198" s="12">
        <v>0.14799999999999999</v>
      </c>
      <c r="C198" s="13">
        <v>-1.458</v>
      </c>
      <c r="D198" s="15">
        <v>-0.69099999999999995</v>
      </c>
      <c r="E198" s="17">
        <f t="shared" si="12"/>
        <v>1.6134574676761702</v>
      </c>
      <c r="F198" s="14">
        <f t="shared" si="13"/>
        <v>3.0257179200000001E-2</v>
      </c>
      <c r="G198" s="16">
        <f t="shared" si="14"/>
        <v>2.7125812900000001E-2</v>
      </c>
      <c r="H198" s="18">
        <f t="shared" si="15"/>
        <v>5.7382992100000002E-2</v>
      </c>
      <c r="K198">
        <v>2.0840000000000001E-2</v>
      </c>
      <c r="L198">
        <v>9.81</v>
      </c>
    </row>
    <row r="199" spans="1:12" x14ac:dyDescent="0.3">
      <c r="A199" s="11">
        <v>3.2829999999999999</v>
      </c>
      <c r="B199" s="12">
        <v>0.13300000000000001</v>
      </c>
      <c r="C199" s="13">
        <v>-1.611</v>
      </c>
      <c r="D199" s="15">
        <v>-0.84399999999999997</v>
      </c>
      <c r="E199" s="17">
        <f t="shared" si="12"/>
        <v>1.8186965112409492</v>
      </c>
      <c r="F199" s="14">
        <f t="shared" si="13"/>
        <v>2.7190573200000005E-2</v>
      </c>
      <c r="G199" s="16">
        <f t="shared" si="14"/>
        <v>3.4465785940000007E-2</v>
      </c>
      <c r="H199" s="18">
        <f t="shared" si="15"/>
        <v>6.1656359140000012E-2</v>
      </c>
      <c r="K199">
        <v>2.0840000000000001E-2</v>
      </c>
      <c r="L199">
        <v>9.81</v>
      </c>
    </row>
    <row r="200" spans="1:12" x14ac:dyDescent="0.3">
      <c r="A200" s="11">
        <v>3.3</v>
      </c>
      <c r="B200" s="12">
        <v>0.12</v>
      </c>
      <c r="C200" s="13">
        <v>-1.841</v>
      </c>
      <c r="D200" s="15">
        <v>-0.92100000000000004</v>
      </c>
      <c r="E200" s="17">
        <f t="shared" si="12"/>
        <v>2.0585242286647976</v>
      </c>
      <c r="F200" s="14">
        <f t="shared" si="13"/>
        <v>2.4532848000000003E-2</v>
      </c>
      <c r="G200" s="16">
        <f t="shared" si="14"/>
        <v>4.4154979239999996E-2</v>
      </c>
      <c r="H200" s="18">
        <f t="shared" si="15"/>
        <v>6.8687827239999999E-2</v>
      </c>
      <c r="K200">
        <v>2.0840000000000001E-2</v>
      </c>
      <c r="L200">
        <v>9.81</v>
      </c>
    </row>
    <row r="201" spans="1:12" x14ac:dyDescent="0.3">
      <c r="A201" s="11">
        <v>3.3170000000000002</v>
      </c>
      <c r="B201" s="12">
        <v>0.10199999999999999</v>
      </c>
      <c r="C201" s="13">
        <v>-1.9179999999999999</v>
      </c>
      <c r="D201" s="15">
        <v>-0.92100000000000004</v>
      </c>
      <c r="E201" s="17">
        <f t="shared" si="12"/>
        <v>2.1276665622225677</v>
      </c>
      <c r="F201" s="14">
        <f t="shared" si="13"/>
        <v>2.0852920800000001E-2</v>
      </c>
      <c r="G201" s="16">
        <f t="shared" si="14"/>
        <v>4.7170975300000001E-2</v>
      </c>
      <c r="H201" s="18">
        <f t="shared" si="15"/>
        <v>6.8023896100000009E-2</v>
      </c>
      <c r="K201">
        <v>2.0840000000000001E-2</v>
      </c>
      <c r="L201">
        <v>9.81</v>
      </c>
    </row>
    <row r="202" spans="1:12" x14ac:dyDescent="0.3">
      <c r="A202" s="11">
        <v>3.3330000000000002</v>
      </c>
      <c r="B202" s="12">
        <v>8.9510000000000006E-2</v>
      </c>
      <c r="C202" s="13">
        <v>-1.9950000000000001</v>
      </c>
      <c r="D202" s="15">
        <v>-0.76700000000000002</v>
      </c>
      <c r="E202" s="17">
        <f t="shared" si="12"/>
        <v>2.1373614574984741</v>
      </c>
      <c r="F202" s="14">
        <f t="shared" si="13"/>
        <v>1.8299460204000004E-2</v>
      </c>
      <c r="G202" s="16">
        <f t="shared" si="14"/>
        <v>4.7601831880000021E-2</v>
      </c>
      <c r="H202" s="18">
        <f t="shared" si="15"/>
        <v>6.5901292084000029E-2</v>
      </c>
      <c r="K202">
        <v>2.0840000000000001E-2</v>
      </c>
      <c r="L202">
        <v>9.81</v>
      </c>
    </row>
    <row r="203" spans="1:12" x14ac:dyDescent="0.3">
      <c r="A203" s="11">
        <v>3.35</v>
      </c>
      <c r="B203" s="12">
        <v>7.6730000000000007E-2</v>
      </c>
      <c r="C203" s="13">
        <v>-2.2250000000000001</v>
      </c>
      <c r="D203" s="15">
        <v>-0.76700000000000002</v>
      </c>
      <c r="E203" s="17">
        <f t="shared" si="12"/>
        <v>2.3534897492872155</v>
      </c>
      <c r="F203" s="14">
        <f t="shared" si="13"/>
        <v>1.5686711892000004E-2</v>
      </c>
      <c r="G203" s="16">
        <f t="shared" si="14"/>
        <v>5.7715483880000015E-2</v>
      </c>
      <c r="H203" s="18">
        <f t="shared" si="15"/>
        <v>7.3402195772000023E-2</v>
      </c>
      <c r="K203">
        <v>2.0840000000000001E-2</v>
      </c>
      <c r="L203">
        <v>9.81</v>
      </c>
    </row>
    <row r="204" spans="1:12" x14ac:dyDescent="0.3">
      <c r="A204" s="11">
        <v>3.367</v>
      </c>
      <c r="B204" s="12">
        <v>6.3939999999999997E-2</v>
      </c>
      <c r="C204" s="13">
        <v>-2.379</v>
      </c>
      <c r="D204" s="15">
        <v>-0.76700000000000002</v>
      </c>
      <c r="E204" s="17">
        <f t="shared" si="12"/>
        <v>2.4995859657151223</v>
      </c>
      <c r="F204" s="14">
        <f t="shared" si="13"/>
        <v>1.3071919176000001E-2</v>
      </c>
      <c r="G204" s="16">
        <f t="shared" si="14"/>
        <v>6.5103430600000012E-2</v>
      </c>
      <c r="H204" s="18">
        <f t="shared" si="15"/>
        <v>7.8175349776000019E-2</v>
      </c>
      <c r="K204">
        <v>2.0840000000000001E-2</v>
      </c>
      <c r="L204">
        <v>9.81</v>
      </c>
    </row>
    <row r="205" spans="1:12" x14ac:dyDescent="0.3">
      <c r="A205" s="11">
        <v>3.383</v>
      </c>
      <c r="B205" s="12">
        <v>5.1150000000000001E-2</v>
      </c>
      <c r="C205" s="13">
        <v>-2.2250000000000001</v>
      </c>
      <c r="D205" s="15">
        <v>-0.61399999999999999</v>
      </c>
      <c r="E205" s="17">
        <f t="shared" si="12"/>
        <v>2.3081639889747869</v>
      </c>
      <c r="F205" s="14">
        <f t="shared" si="13"/>
        <v>1.0457126460000001E-2</v>
      </c>
      <c r="G205" s="16">
        <f t="shared" si="14"/>
        <v>5.5513810820000009E-2</v>
      </c>
      <c r="H205" s="18">
        <f t="shared" si="15"/>
        <v>6.5970937280000003E-2</v>
      </c>
      <c r="K205">
        <v>2.0840000000000001E-2</v>
      </c>
      <c r="L205">
        <v>9.81</v>
      </c>
    </row>
    <row r="206" spans="1:12" x14ac:dyDescent="0.3">
      <c r="A206" s="11">
        <v>3.4</v>
      </c>
      <c r="B206" s="12">
        <v>4.3479999999999998E-2</v>
      </c>
      <c r="C206" s="13">
        <v>-2.1480000000000001</v>
      </c>
      <c r="D206" s="15">
        <v>-0.53700000000000003</v>
      </c>
      <c r="E206" s="17">
        <f t="shared" si="12"/>
        <v>2.214107720956684</v>
      </c>
      <c r="F206" s="14">
        <f t="shared" si="13"/>
        <v>8.8890685920000011E-3</v>
      </c>
      <c r="G206" s="16">
        <f t="shared" si="14"/>
        <v>5.1081684660000015E-2</v>
      </c>
      <c r="H206" s="18">
        <f t="shared" si="15"/>
        <v>5.997075325200002E-2</v>
      </c>
      <c r="K206">
        <v>2.0840000000000001E-2</v>
      </c>
      <c r="L206">
        <v>9.81</v>
      </c>
    </row>
    <row r="207" spans="1:12" x14ac:dyDescent="0.3">
      <c r="A207" s="11">
        <v>3.4169999999999998</v>
      </c>
      <c r="B207" s="12">
        <v>3.3250000000000002E-2</v>
      </c>
      <c r="C207" s="13">
        <v>-2.4550000000000001</v>
      </c>
      <c r="D207" s="15">
        <v>-0.61399999999999999</v>
      </c>
      <c r="E207" s="17">
        <f t="shared" si="12"/>
        <v>2.5306167232514687</v>
      </c>
      <c r="F207" s="14">
        <f t="shared" si="13"/>
        <v>6.7976433000000013E-3</v>
      </c>
      <c r="G207" s="16">
        <f t="shared" si="14"/>
        <v>6.6729898820000008E-2</v>
      </c>
      <c r="H207" s="18">
        <f t="shared" si="15"/>
        <v>7.3527542120000011E-2</v>
      </c>
      <c r="K207">
        <v>2.0840000000000001E-2</v>
      </c>
      <c r="L207">
        <v>9.81</v>
      </c>
    </row>
    <row r="208" spans="1:12" x14ac:dyDescent="0.3">
      <c r="A208" s="11">
        <v>3.4329999999999998</v>
      </c>
      <c r="B208" s="12">
        <v>2.3019999999999999E-2</v>
      </c>
      <c r="C208" s="13">
        <v>-2.532</v>
      </c>
      <c r="D208" s="15">
        <v>-0.38400000000000001</v>
      </c>
      <c r="E208" s="17">
        <f t="shared" si="12"/>
        <v>2.5609529476349229</v>
      </c>
      <c r="F208" s="14">
        <f t="shared" si="13"/>
        <v>4.7062180080000007E-3</v>
      </c>
      <c r="G208" s="16">
        <f t="shared" si="14"/>
        <v>6.8339361600000009E-2</v>
      </c>
      <c r="H208" s="18">
        <f t="shared" si="15"/>
        <v>7.3045579608000011E-2</v>
      </c>
      <c r="K208">
        <v>2.0840000000000001E-2</v>
      </c>
      <c r="L208">
        <v>9.81</v>
      </c>
    </row>
    <row r="209" spans="1:12" x14ac:dyDescent="0.3">
      <c r="A209" s="11">
        <v>3.45</v>
      </c>
      <c r="B209" s="12">
        <v>2.0459999999999999E-2</v>
      </c>
      <c r="C209" s="13">
        <v>-2.4550000000000001</v>
      </c>
      <c r="D209" s="15">
        <v>-0.38400000000000001</v>
      </c>
      <c r="E209" s="17">
        <f t="shared" si="12"/>
        <v>2.4848502973016302</v>
      </c>
      <c r="F209" s="14">
        <f t="shared" si="13"/>
        <v>4.1828505840000004E-3</v>
      </c>
      <c r="G209" s="16">
        <f t="shared" si="14"/>
        <v>6.4338092020000001E-2</v>
      </c>
      <c r="H209" s="18">
        <f t="shared" si="15"/>
        <v>6.8520942604000004E-2</v>
      </c>
      <c r="K209">
        <v>2.0840000000000001E-2</v>
      </c>
      <c r="L209">
        <v>9.81</v>
      </c>
    </row>
    <row r="210" spans="1:12" x14ac:dyDescent="0.3">
      <c r="A210" s="11">
        <v>3.4670000000000001</v>
      </c>
      <c r="B210" s="12">
        <v>1.023E-2</v>
      </c>
      <c r="C210" s="13">
        <v>-2.609</v>
      </c>
      <c r="D210" s="15">
        <v>-0.38400000000000001</v>
      </c>
      <c r="E210" s="17">
        <f t="shared" si="12"/>
        <v>2.6371076959426589</v>
      </c>
      <c r="F210" s="14">
        <f t="shared" si="13"/>
        <v>2.0914252920000002E-3</v>
      </c>
      <c r="G210" s="16">
        <f t="shared" si="14"/>
        <v>7.2464191539999986E-2</v>
      </c>
      <c r="H210" s="18">
        <f t="shared" si="15"/>
        <v>7.4555616831999988E-2</v>
      </c>
      <c r="K210">
        <v>2.0840000000000001E-2</v>
      </c>
      <c r="L210">
        <v>9.81</v>
      </c>
    </row>
    <row r="211" spans="1:12" x14ac:dyDescent="0.3">
      <c r="A211" s="11">
        <v>3.4830000000000001</v>
      </c>
      <c r="B211" s="12">
        <v>7.6730000000000001E-3</v>
      </c>
      <c r="C211" s="13">
        <v>-2.6850000000000001</v>
      </c>
      <c r="D211" s="15">
        <v>-0.307</v>
      </c>
      <c r="E211" s="17">
        <f t="shared" si="12"/>
        <v>2.7024940332959106</v>
      </c>
      <c r="F211" s="14">
        <f t="shared" si="13"/>
        <v>1.5686711892000003E-3</v>
      </c>
      <c r="G211" s="16">
        <f t="shared" si="14"/>
        <v>7.6102199079999988E-2</v>
      </c>
      <c r="H211" s="18">
        <f t="shared" si="15"/>
        <v>7.7670870269199985E-2</v>
      </c>
      <c r="K211">
        <v>2.0840000000000001E-2</v>
      </c>
      <c r="L211">
        <v>9.81</v>
      </c>
    </row>
    <row r="212" spans="1:12" x14ac:dyDescent="0.3">
      <c r="A212" s="11">
        <v>3.5</v>
      </c>
      <c r="B212" s="12">
        <v>0</v>
      </c>
      <c r="C212" s="13">
        <v>-2.609</v>
      </c>
      <c r="D212" s="15">
        <v>-0.153</v>
      </c>
      <c r="E212" s="17">
        <f t="shared" si="12"/>
        <v>2.6134823511935181</v>
      </c>
      <c r="F212" s="14">
        <f t="shared" si="13"/>
        <v>0</v>
      </c>
      <c r="G212" s="16">
        <f t="shared" si="14"/>
        <v>7.1171621800000001E-2</v>
      </c>
      <c r="H212" s="18">
        <f t="shared" si="15"/>
        <v>7.1171621800000001E-2</v>
      </c>
      <c r="K212">
        <v>2.0840000000000001E-2</v>
      </c>
      <c r="L212">
        <v>9.81</v>
      </c>
    </row>
    <row r="213" spans="1:12" x14ac:dyDescent="0.3">
      <c r="A213" s="11">
        <v>3.5169999999999999</v>
      </c>
      <c r="B213" s="12">
        <v>2.5579999999999999E-3</v>
      </c>
      <c r="C213" s="13">
        <v>-2.609</v>
      </c>
      <c r="D213" s="15">
        <v>0</v>
      </c>
      <c r="E213" s="17">
        <f t="shared" si="12"/>
        <v>2.609</v>
      </c>
      <c r="F213" s="14">
        <f t="shared" si="13"/>
        <v>5.2295854320000008E-4</v>
      </c>
      <c r="G213" s="16">
        <f t="shared" si="14"/>
        <v>7.0927700019999998E-2</v>
      </c>
      <c r="H213" s="18">
        <f t="shared" si="15"/>
        <v>7.1450658563200001E-2</v>
      </c>
      <c r="K213">
        <v>2.0840000000000001E-2</v>
      </c>
      <c r="L213">
        <v>9.81</v>
      </c>
    </row>
    <row r="214" spans="1:12" x14ac:dyDescent="0.3">
      <c r="A214" s="11">
        <v>3.5329999999999999</v>
      </c>
      <c r="B214" s="12">
        <v>0</v>
      </c>
      <c r="C214" s="13">
        <v>-2.532</v>
      </c>
      <c r="D214" s="15">
        <v>0</v>
      </c>
      <c r="E214" s="17">
        <f t="shared" si="12"/>
        <v>2.532</v>
      </c>
      <c r="F214" s="14">
        <f t="shared" si="13"/>
        <v>0</v>
      </c>
      <c r="G214" s="16">
        <f t="shared" si="14"/>
        <v>6.6802870080000007E-2</v>
      </c>
      <c r="H214" s="18">
        <f t="shared" si="15"/>
        <v>6.6802870080000007E-2</v>
      </c>
      <c r="K214">
        <v>2.0840000000000001E-2</v>
      </c>
      <c r="L214">
        <v>9.81</v>
      </c>
    </row>
    <row r="215" spans="1:12" x14ac:dyDescent="0.3">
      <c r="A215" s="11">
        <v>3.55</v>
      </c>
      <c r="B215" s="12">
        <v>2.5579999999999999E-3</v>
      </c>
      <c r="C215" s="13">
        <v>-2.609</v>
      </c>
      <c r="D215" s="15">
        <v>0.23</v>
      </c>
      <c r="E215" s="17">
        <f t="shared" si="12"/>
        <v>2.6191183631138171</v>
      </c>
      <c r="F215" s="14">
        <f t="shared" si="13"/>
        <v>5.2295854320000008E-4</v>
      </c>
      <c r="G215" s="16">
        <f t="shared" si="14"/>
        <v>7.1478918020000018E-2</v>
      </c>
      <c r="H215" s="18">
        <f t="shared" si="15"/>
        <v>7.2001876563200021E-2</v>
      </c>
      <c r="K215">
        <v>2.0840000000000001E-2</v>
      </c>
      <c r="L215">
        <v>9.81</v>
      </c>
    </row>
    <row r="216" spans="1:12" x14ac:dyDescent="0.3">
      <c r="A216" s="11">
        <v>3.5670000000000002</v>
      </c>
      <c r="B216" s="12">
        <v>7.6730000000000001E-3</v>
      </c>
      <c r="C216" s="13">
        <v>-2.609</v>
      </c>
      <c r="D216" s="15">
        <v>0.38400000000000001</v>
      </c>
      <c r="E216" s="17">
        <f t="shared" si="12"/>
        <v>2.6371076959426589</v>
      </c>
      <c r="F216" s="14">
        <f t="shared" si="13"/>
        <v>1.5686711892000003E-3</v>
      </c>
      <c r="G216" s="16">
        <f t="shared" si="14"/>
        <v>7.2464191539999986E-2</v>
      </c>
      <c r="H216" s="18">
        <f t="shared" si="15"/>
        <v>7.4032862729199983E-2</v>
      </c>
      <c r="K216">
        <v>2.0840000000000001E-2</v>
      </c>
      <c r="L216">
        <v>9.81</v>
      </c>
    </row>
    <row r="217" spans="1:12" x14ac:dyDescent="0.3">
      <c r="A217" s="11">
        <v>3.5830000000000002</v>
      </c>
      <c r="B217" s="12">
        <v>1.5350000000000001E-2</v>
      </c>
      <c r="C217" s="13">
        <v>-2.302</v>
      </c>
      <c r="D217" s="15">
        <v>0.38400000000000001</v>
      </c>
      <c r="E217" s="17">
        <f t="shared" si="12"/>
        <v>2.3338080469481635</v>
      </c>
      <c r="F217" s="14">
        <f t="shared" si="13"/>
        <v>3.1381601400000004E-3</v>
      </c>
      <c r="G217" s="16">
        <f t="shared" si="14"/>
        <v>5.6754197200000016E-2</v>
      </c>
      <c r="H217" s="18">
        <f t="shared" si="15"/>
        <v>5.9892357340000014E-2</v>
      </c>
      <c r="K217">
        <v>2.0840000000000001E-2</v>
      </c>
      <c r="L217">
        <v>9.81</v>
      </c>
    </row>
    <row r="218" spans="1:12" x14ac:dyDescent="0.3">
      <c r="A218" s="11">
        <v>3.6</v>
      </c>
      <c r="B218" s="12">
        <v>2.0459999999999999E-2</v>
      </c>
      <c r="C218" s="13">
        <v>-2.532</v>
      </c>
      <c r="D218" s="15">
        <v>0.38400000000000001</v>
      </c>
      <c r="E218" s="17">
        <f t="shared" si="12"/>
        <v>2.5609529476349229</v>
      </c>
      <c r="F218" s="14">
        <f t="shared" si="13"/>
        <v>4.1828505840000004E-3</v>
      </c>
      <c r="G218" s="16">
        <f t="shared" si="14"/>
        <v>6.8339361600000009E-2</v>
      </c>
      <c r="H218" s="18">
        <f t="shared" si="15"/>
        <v>7.2522212184000012E-2</v>
      </c>
      <c r="K218">
        <v>2.0840000000000001E-2</v>
      </c>
      <c r="L218">
        <v>9.81</v>
      </c>
    </row>
    <row r="219" spans="1:12" x14ac:dyDescent="0.3">
      <c r="A219" s="11">
        <v>3.617</v>
      </c>
      <c r="B219" s="12">
        <v>2.8129999999999999E-2</v>
      </c>
      <c r="C219" s="13">
        <v>-2.379</v>
      </c>
      <c r="D219" s="15">
        <v>0.46</v>
      </c>
      <c r="E219" s="17">
        <f t="shared" si="12"/>
        <v>2.4230643821409283</v>
      </c>
      <c r="F219" s="14">
        <f t="shared" si="13"/>
        <v>5.7509084520000007E-3</v>
      </c>
      <c r="G219" s="16">
        <f t="shared" si="14"/>
        <v>6.1178331219999986E-2</v>
      </c>
      <c r="H219" s="18">
        <f t="shared" si="15"/>
        <v>6.6929239671999985E-2</v>
      </c>
      <c r="K219">
        <v>2.0840000000000001E-2</v>
      </c>
      <c r="L219">
        <v>9.81</v>
      </c>
    </row>
    <row r="220" spans="1:12" x14ac:dyDescent="0.3">
      <c r="A220" s="11">
        <v>3.633</v>
      </c>
      <c r="B220" s="12">
        <v>3.5810000000000002E-2</v>
      </c>
      <c r="C220" s="13">
        <v>-2.302</v>
      </c>
      <c r="D220" s="15">
        <v>0.53700000000000003</v>
      </c>
      <c r="E220" s="17">
        <f t="shared" si="12"/>
        <v>2.3638047719725082</v>
      </c>
      <c r="F220" s="14">
        <f t="shared" si="13"/>
        <v>7.3210107240000008E-3</v>
      </c>
      <c r="G220" s="16">
        <f t="shared" si="14"/>
        <v>5.8222510660000018E-2</v>
      </c>
      <c r="H220" s="18">
        <f t="shared" si="15"/>
        <v>6.554352138400002E-2</v>
      </c>
      <c r="K220">
        <v>2.0840000000000001E-2</v>
      </c>
      <c r="L220">
        <v>9.81</v>
      </c>
    </row>
    <row r="221" spans="1:12" x14ac:dyDescent="0.3">
      <c r="A221" s="11">
        <v>3.65</v>
      </c>
      <c r="B221" s="12">
        <v>4.6039999999999998E-2</v>
      </c>
      <c r="C221" s="13">
        <v>-2.302</v>
      </c>
      <c r="D221" s="15">
        <v>0.61399999999999999</v>
      </c>
      <c r="E221" s="17">
        <f t="shared" si="12"/>
        <v>2.3824777018893588</v>
      </c>
      <c r="F221" s="14">
        <f t="shared" si="13"/>
        <v>9.4124360160000014E-3</v>
      </c>
      <c r="G221" s="16">
        <f t="shared" si="14"/>
        <v>5.9146004000000009E-2</v>
      </c>
      <c r="H221" s="18">
        <f t="shared" si="15"/>
        <v>6.8558440016000005E-2</v>
      </c>
      <c r="K221">
        <v>2.0840000000000001E-2</v>
      </c>
      <c r="L221">
        <v>9.81</v>
      </c>
    </row>
    <row r="222" spans="1:12" x14ac:dyDescent="0.3">
      <c r="A222" s="11">
        <v>3.6669999999999998</v>
      </c>
      <c r="B222" s="12">
        <v>5.6270000000000001E-2</v>
      </c>
      <c r="C222" s="13">
        <v>-2.0720000000000001</v>
      </c>
      <c r="D222" s="15">
        <v>0.69099999999999995</v>
      </c>
      <c r="E222" s="17">
        <f t="shared" si="12"/>
        <v>2.1841852027701316</v>
      </c>
      <c r="F222" s="14">
        <f t="shared" si="13"/>
        <v>1.1503861308000001E-2</v>
      </c>
      <c r="G222" s="16">
        <f t="shared" si="14"/>
        <v>4.9710329300000015E-2</v>
      </c>
      <c r="H222" s="18">
        <f t="shared" si="15"/>
        <v>6.1214190608000013E-2</v>
      </c>
      <c r="K222">
        <v>2.0840000000000001E-2</v>
      </c>
      <c r="L222">
        <v>9.81</v>
      </c>
    </row>
    <row r="223" spans="1:12" x14ac:dyDescent="0.3">
      <c r="A223" s="11">
        <v>3.6829999999999998</v>
      </c>
      <c r="B223" s="12">
        <v>6.905E-2</v>
      </c>
      <c r="C223" s="13">
        <v>-2.0720000000000001</v>
      </c>
      <c r="D223" s="15">
        <v>0.69099999999999995</v>
      </c>
      <c r="E223" s="17">
        <f t="shared" si="12"/>
        <v>2.1841852027701316</v>
      </c>
      <c r="F223" s="14">
        <f t="shared" si="13"/>
        <v>1.4116609620000001E-2</v>
      </c>
      <c r="G223" s="16">
        <f t="shared" si="14"/>
        <v>4.9710329300000015E-2</v>
      </c>
      <c r="H223" s="18">
        <f t="shared" si="15"/>
        <v>6.382693892000002E-2</v>
      </c>
      <c r="K223">
        <v>2.0840000000000001E-2</v>
      </c>
      <c r="L223">
        <v>9.81</v>
      </c>
    </row>
    <row r="224" spans="1:12" x14ac:dyDescent="0.3">
      <c r="A224" s="11">
        <v>3.7</v>
      </c>
      <c r="B224" s="12">
        <v>7.9280000000000003E-2</v>
      </c>
      <c r="C224" s="13">
        <v>-2.0720000000000001</v>
      </c>
      <c r="D224" s="15">
        <v>0.84399999999999997</v>
      </c>
      <c r="E224" s="17">
        <f t="shared" si="12"/>
        <v>2.2373019465418609</v>
      </c>
      <c r="F224" s="14">
        <f t="shared" si="13"/>
        <v>1.6208034912000003E-2</v>
      </c>
      <c r="G224" s="16">
        <f t="shared" si="14"/>
        <v>5.2157518399999998E-2</v>
      </c>
      <c r="H224" s="18">
        <f t="shared" si="15"/>
        <v>6.8365553312000005E-2</v>
      </c>
      <c r="K224">
        <v>2.0840000000000001E-2</v>
      </c>
      <c r="L224">
        <v>9.81</v>
      </c>
    </row>
    <row r="225" spans="1:12" x14ac:dyDescent="0.3">
      <c r="A225" s="11">
        <v>3.7170000000000001</v>
      </c>
      <c r="B225" s="12">
        <v>9.7189999999999999E-2</v>
      </c>
      <c r="C225" s="13">
        <v>-1.841</v>
      </c>
      <c r="D225" s="15">
        <v>0.997</v>
      </c>
      <c r="E225" s="17">
        <f t="shared" si="12"/>
        <v>2.0936308175034108</v>
      </c>
      <c r="F225" s="14">
        <f t="shared" si="13"/>
        <v>1.9869562476E-2</v>
      </c>
      <c r="G225" s="16">
        <f t="shared" si="14"/>
        <v>4.567388180000001E-2</v>
      </c>
      <c r="H225" s="18">
        <f t="shared" si="15"/>
        <v>6.5543444276000007E-2</v>
      </c>
      <c r="K225">
        <v>2.0840000000000001E-2</v>
      </c>
      <c r="L225">
        <v>9.81</v>
      </c>
    </row>
    <row r="226" spans="1:12" x14ac:dyDescent="0.3">
      <c r="A226" s="11">
        <v>3.7330000000000001</v>
      </c>
      <c r="B226" s="12">
        <v>0.113</v>
      </c>
      <c r="C226" s="13">
        <v>-1.6879999999999999</v>
      </c>
      <c r="D226" s="15">
        <v>0.69099999999999995</v>
      </c>
      <c r="E226" s="17">
        <f t="shared" si="12"/>
        <v>1.8239586069864633</v>
      </c>
      <c r="F226" s="14">
        <f t="shared" si="13"/>
        <v>2.3101765200000002E-2</v>
      </c>
      <c r="G226" s="16">
        <f t="shared" si="14"/>
        <v>3.4665516499999993E-2</v>
      </c>
      <c r="H226" s="18">
        <f t="shared" si="15"/>
        <v>5.7767281699999992E-2</v>
      </c>
      <c r="K226">
        <v>2.0840000000000001E-2</v>
      </c>
      <c r="L226">
        <v>9.81</v>
      </c>
    </row>
    <row r="227" spans="1:12" x14ac:dyDescent="0.3">
      <c r="A227" s="11">
        <v>3.75</v>
      </c>
      <c r="B227" s="12">
        <v>0.12</v>
      </c>
      <c r="C227" s="13">
        <v>-1.841</v>
      </c>
      <c r="D227" s="15">
        <v>0.61399999999999999</v>
      </c>
      <c r="E227" s="17">
        <f t="shared" si="12"/>
        <v>1.9406898258093692</v>
      </c>
      <c r="F227" s="14">
        <f t="shared" si="13"/>
        <v>2.4532848000000003E-2</v>
      </c>
      <c r="G227" s="16">
        <f t="shared" si="14"/>
        <v>3.9244606339999995E-2</v>
      </c>
      <c r="H227" s="18">
        <f t="shared" si="15"/>
        <v>6.3777454339999998E-2</v>
      </c>
      <c r="K227">
        <v>2.0840000000000001E-2</v>
      </c>
      <c r="L227">
        <v>9.81</v>
      </c>
    </row>
    <row r="228" spans="1:12" x14ac:dyDescent="0.3">
      <c r="A228" s="11">
        <v>3.7669999999999999</v>
      </c>
      <c r="B228" s="12">
        <v>0.13300000000000001</v>
      </c>
      <c r="C228" s="13">
        <v>-1.841</v>
      </c>
      <c r="D228" s="15">
        <v>0.84399999999999997</v>
      </c>
      <c r="E228" s="17">
        <f t="shared" si="12"/>
        <v>2.0252449234598764</v>
      </c>
      <c r="F228" s="14">
        <f t="shared" si="13"/>
        <v>2.7190573200000005E-2</v>
      </c>
      <c r="G228" s="16">
        <f t="shared" si="14"/>
        <v>4.2738849140000014E-2</v>
      </c>
      <c r="H228" s="18">
        <f t="shared" si="15"/>
        <v>6.9929422340000019E-2</v>
      </c>
      <c r="K228">
        <v>2.0840000000000001E-2</v>
      </c>
      <c r="L228">
        <v>9.81</v>
      </c>
    </row>
    <row r="229" spans="1:12" x14ac:dyDescent="0.3">
      <c r="A229" s="11">
        <v>3.7829999999999999</v>
      </c>
      <c r="B229" s="12">
        <v>0.14799999999999999</v>
      </c>
      <c r="C229" s="13">
        <v>-1.458</v>
      </c>
      <c r="D229" s="15">
        <v>0.76700000000000002</v>
      </c>
      <c r="E229" s="17">
        <f t="shared" si="12"/>
        <v>1.6474383144749305</v>
      </c>
      <c r="F229" s="14">
        <f t="shared" si="13"/>
        <v>3.0257179200000001E-2</v>
      </c>
      <c r="G229" s="16">
        <f t="shared" si="14"/>
        <v>2.8280432259999998E-2</v>
      </c>
      <c r="H229" s="18">
        <f t="shared" si="15"/>
        <v>5.853761146E-2</v>
      </c>
      <c r="K229">
        <v>2.0840000000000001E-2</v>
      </c>
      <c r="L229">
        <v>9.81</v>
      </c>
    </row>
    <row r="230" spans="1:12" x14ac:dyDescent="0.3">
      <c r="A230" s="11">
        <v>3.8</v>
      </c>
      <c r="B230" s="12">
        <v>0.159</v>
      </c>
      <c r="C230" s="13">
        <v>-1.381</v>
      </c>
      <c r="D230" s="15">
        <v>0.76700000000000002</v>
      </c>
      <c r="E230" s="17">
        <f t="shared" si="12"/>
        <v>1.5796993384818516</v>
      </c>
      <c r="F230" s="14">
        <f t="shared" si="13"/>
        <v>3.2506023600000003E-2</v>
      </c>
      <c r="G230" s="16">
        <f t="shared" si="14"/>
        <v>2.6002588999999996E-2</v>
      </c>
      <c r="H230" s="18">
        <f t="shared" si="15"/>
        <v>5.8508612599999996E-2</v>
      </c>
      <c r="K230">
        <v>2.0840000000000001E-2</v>
      </c>
      <c r="L230">
        <v>9.81</v>
      </c>
    </row>
    <row r="231" spans="1:12" x14ac:dyDescent="0.3">
      <c r="A231" s="11">
        <v>3.8170000000000002</v>
      </c>
      <c r="B231" s="12">
        <v>0.17399999999999999</v>
      </c>
      <c r="C231" s="13">
        <v>-1.228</v>
      </c>
      <c r="D231" s="15">
        <v>0.61399999999999999</v>
      </c>
      <c r="E231" s="17">
        <f t="shared" si="12"/>
        <v>1.3729457381848709</v>
      </c>
      <c r="F231" s="14">
        <f t="shared" si="13"/>
        <v>3.5572629600000003E-2</v>
      </c>
      <c r="G231" s="16">
        <f t="shared" si="14"/>
        <v>1.9641491599999998E-2</v>
      </c>
      <c r="H231" s="18">
        <f t="shared" si="15"/>
        <v>5.5214121200000001E-2</v>
      </c>
      <c r="K231">
        <v>2.0840000000000001E-2</v>
      </c>
      <c r="L231">
        <v>9.81</v>
      </c>
    </row>
    <row r="232" spans="1:12" x14ac:dyDescent="0.3">
      <c r="A232" s="11">
        <v>3.8330000000000002</v>
      </c>
      <c r="B232" s="12">
        <v>0.17899999999999999</v>
      </c>
      <c r="C232" s="13">
        <v>-1.0740000000000001</v>
      </c>
      <c r="D232" s="15">
        <v>0.76700000000000002</v>
      </c>
      <c r="E232" s="17">
        <f t="shared" si="12"/>
        <v>1.3197594477782686</v>
      </c>
      <c r="F232" s="14">
        <f t="shared" si="13"/>
        <v>3.6594831600000002E-2</v>
      </c>
      <c r="G232" s="16">
        <f t="shared" si="14"/>
        <v>1.8149191300000006E-2</v>
      </c>
      <c r="H232" s="18">
        <f t="shared" si="15"/>
        <v>5.4744022900000008E-2</v>
      </c>
      <c r="K232">
        <v>2.0840000000000001E-2</v>
      </c>
      <c r="L232">
        <v>9.81</v>
      </c>
    </row>
    <row r="233" spans="1:12" x14ac:dyDescent="0.3">
      <c r="A233" s="11">
        <v>3.85</v>
      </c>
      <c r="B233" s="12">
        <v>0.19900000000000001</v>
      </c>
      <c r="C233" s="13">
        <v>-1.0740000000000001</v>
      </c>
      <c r="D233" s="15">
        <v>0.997</v>
      </c>
      <c r="E233" s="17">
        <f t="shared" si="12"/>
        <v>1.465429971032393</v>
      </c>
      <c r="F233" s="14">
        <f t="shared" si="13"/>
        <v>4.0683639600000009E-2</v>
      </c>
      <c r="G233" s="16">
        <f t="shared" si="14"/>
        <v>2.2376793700000001E-2</v>
      </c>
      <c r="H233" s="18">
        <f t="shared" si="15"/>
        <v>6.306043330000001E-2</v>
      </c>
      <c r="K233">
        <v>2.0840000000000001E-2</v>
      </c>
      <c r="L233">
        <v>9.81</v>
      </c>
    </row>
    <row r="234" spans="1:12" x14ac:dyDescent="0.3">
      <c r="A234" s="11">
        <v>3.867</v>
      </c>
      <c r="B234" s="12">
        <v>0.21199999999999999</v>
      </c>
      <c r="C234" s="13">
        <v>-0.997</v>
      </c>
      <c r="D234" s="15">
        <v>0.61399999999999999</v>
      </c>
      <c r="E234" s="17">
        <f t="shared" si="12"/>
        <v>1.1708992270900174</v>
      </c>
      <c r="F234" s="14">
        <f t="shared" si="13"/>
        <v>4.3341364800000004E-2</v>
      </c>
      <c r="G234" s="16">
        <f t="shared" si="14"/>
        <v>1.4285872100000001E-2</v>
      </c>
      <c r="H234" s="18">
        <f t="shared" si="15"/>
        <v>5.7627236900000003E-2</v>
      </c>
      <c r="K234">
        <v>2.0840000000000001E-2</v>
      </c>
      <c r="L234">
        <v>9.81</v>
      </c>
    </row>
    <row r="235" spans="1:12" x14ac:dyDescent="0.3">
      <c r="A235" s="11">
        <v>3.883</v>
      </c>
      <c r="B235" s="12">
        <v>0.22</v>
      </c>
      <c r="C235" s="13">
        <v>-0.997</v>
      </c>
      <c r="D235" s="15">
        <v>0.61399999999999999</v>
      </c>
      <c r="E235" s="17">
        <f t="shared" si="12"/>
        <v>1.1708992270900174</v>
      </c>
      <c r="F235" s="14">
        <f t="shared" si="13"/>
        <v>4.4976888000000007E-2</v>
      </c>
      <c r="G235" s="16">
        <f t="shared" si="14"/>
        <v>1.4285872100000001E-2</v>
      </c>
      <c r="H235" s="18">
        <f t="shared" si="15"/>
        <v>5.9262760100000006E-2</v>
      </c>
      <c r="K235">
        <v>2.0840000000000001E-2</v>
      </c>
      <c r="L235">
        <v>9.81</v>
      </c>
    </row>
    <row r="236" spans="1:12" x14ac:dyDescent="0.3">
      <c r="A236" s="11">
        <v>3.9</v>
      </c>
      <c r="B236" s="12">
        <v>0.23300000000000001</v>
      </c>
      <c r="C236" s="13">
        <v>-0.76700000000000002</v>
      </c>
      <c r="D236" s="15">
        <v>0.61399999999999999</v>
      </c>
      <c r="E236" s="17">
        <f t="shared" si="12"/>
        <v>0.98248918569111998</v>
      </c>
      <c r="F236" s="14">
        <f t="shared" si="13"/>
        <v>4.7634613200000009E-2</v>
      </c>
      <c r="G236" s="16">
        <f t="shared" si="14"/>
        <v>1.0058269700000001E-2</v>
      </c>
      <c r="H236" s="18">
        <f t="shared" si="15"/>
        <v>5.7692882900000006E-2</v>
      </c>
      <c r="K236">
        <v>2.0840000000000001E-2</v>
      </c>
      <c r="L236">
        <v>9.81</v>
      </c>
    </row>
    <row r="237" spans="1:12" x14ac:dyDescent="0.3">
      <c r="A237" s="11">
        <v>3.9169999999999998</v>
      </c>
      <c r="B237" s="12">
        <v>0.24</v>
      </c>
      <c r="C237" s="13">
        <v>-0.61399999999999999</v>
      </c>
      <c r="D237" s="15">
        <v>0.46</v>
      </c>
      <c r="E237" s="17">
        <f t="shared" si="12"/>
        <v>0.76720010427527963</v>
      </c>
      <c r="F237" s="14">
        <f t="shared" si="13"/>
        <v>4.9065696000000006E-2</v>
      </c>
      <c r="G237" s="16">
        <f t="shared" si="14"/>
        <v>6.133170319999999E-3</v>
      </c>
      <c r="H237" s="18">
        <f t="shared" si="15"/>
        <v>5.5198866320000005E-2</v>
      </c>
      <c r="K237">
        <v>2.0840000000000001E-2</v>
      </c>
      <c r="L237">
        <v>9.81</v>
      </c>
    </row>
    <row r="238" spans="1:12" x14ac:dyDescent="0.3">
      <c r="A238" s="11">
        <v>3.9329999999999998</v>
      </c>
      <c r="B238" s="12">
        <v>0.248</v>
      </c>
      <c r="C238" s="13">
        <v>-0.53700000000000003</v>
      </c>
      <c r="D238" s="15">
        <v>0.53700000000000003</v>
      </c>
      <c r="E238" s="17">
        <f t="shared" si="12"/>
        <v>0.75943268299435207</v>
      </c>
      <c r="F238" s="14">
        <f t="shared" si="13"/>
        <v>5.0701219200000008E-2</v>
      </c>
      <c r="G238" s="16">
        <f t="shared" si="14"/>
        <v>6.0096099600000013E-3</v>
      </c>
      <c r="H238" s="18">
        <f t="shared" si="15"/>
        <v>5.6710829160000011E-2</v>
      </c>
      <c r="K238">
        <v>2.0840000000000001E-2</v>
      </c>
      <c r="L238">
        <v>9.81</v>
      </c>
    </row>
    <row r="239" spans="1:12" x14ac:dyDescent="0.3">
      <c r="A239" s="11">
        <v>3.95</v>
      </c>
      <c r="B239" s="12">
        <v>0.25800000000000001</v>
      </c>
      <c r="C239" s="13">
        <v>-0.46</v>
      </c>
      <c r="D239" s="15">
        <v>0.307</v>
      </c>
      <c r="E239" s="17">
        <f t="shared" si="12"/>
        <v>0.55303616518271215</v>
      </c>
      <c r="F239" s="14">
        <f t="shared" si="13"/>
        <v>5.2745623200000008E-2</v>
      </c>
      <c r="G239" s="16">
        <f t="shared" si="14"/>
        <v>3.1869465800000011E-3</v>
      </c>
      <c r="H239" s="18">
        <f t="shared" si="15"/>
        <v>5.593256978000001E-2</v>
      </c>
      <c r="K239">
        <v>2.0840000000000001E-2</v>
      </c>
      <c r="L239">
        <v>9.81</v>
      </c>
    </row>
    <row r="240" spans="1:12" x14ac:dyDescent="0.3">
      <c r="A240" s="11">
        <v>3.9670000000000001</v>
      </c>
      <c r="B240" s="12">
        <v>0.25800000000000001</v>
      </c>
      <c r="C240" s="13">
        <v>-0.38400000000000001</v>
      </c>
      <c r="D240" s="15">
        <v>0.23</v>
      </c>
      <c r="E240" s="17">
        <f t="shared" si="12"/>
        <v>0.44761143863846914</v>
      </c>
      <c r="F240" s="14">
        <f t="shared" si="13"/>
        <v>5.2745623200000008E-2</v>
      </c>
      <c r="G240" s="16">
        <f t="shared" si="14"/>
        <v>2.0877095200000006E-3</v>
      </c>
      <c r="H240" s="18">
        <f t="shared" si="15"/>
        <v>5.483333272000001E-2</v>
      </c>
      <c r="K240">
        <v>2.0840000000000001E-2</v>
      </c>
      <c r="L240">
        <v>9.81</v>
      </c>
    </row>
    <row r="241" spans="1:12" x14ac:dyDescent="0.3">
      <c r="A241" s="11">
        <v>3.9830000000000001</v>
      </c>
      <c r="B241" s="12">
        <v>0.26600000000000001</v>
      </c>
      <c r="C241" s="13">
        <v>-7.6730000000000007E-2</v>
      </c>
      <c r="D241" s="15">
        <v>0.307</v>
      </c>
      <c r="E241" s="17">
        <f t="shared" si="12"/>
        <v>0.31644350664850118</v>
      </c>
      <c r="F241" s="14">
        <f t="shared" si="13"/>
        <v>5.4381146400000011E-2</v>
      </c>
      <c r="G241" s="16">
        <f t="shared" si="14"/>
        <v>1.0434222560180002E-3</v>
      </c>
      <c r="H241" s="18">
        <f t="shared" si="15"/>
        <v>5.5424568656018011E-2</v>
      </c>
      <c r="K241">
        <v>2.0840000000000001E-2</v>
      </c>
      <c r="L241">
        <v>9.81</v>
      </c>
    </row>
    <row r="242" spans="1:12" x14ac:dyDescent="0.3">
      <c r="A242" s="11">
        <v>4</v>
      </c>
      <c r="B242" s="12">
        <v>0.26900000000000002</v>
      </c>
      <c r="C242" s="13">
        <v>0</v>
      </c>
      <c r="D242" s="15">
        <v>0</v>
      </c>
      <c r="E242" s="17">
        <f t="shared" si="12"/>
        <v>0</v>
      </c>
      <c r="F242" s="14">
        <f t="shared" si="13"/>
        <v>5.4994467600000006E-2</v>
      </c>
      <c r="G242" s="16">
        <f t="shared" si="14"/>
        <v>0</v>
      </c>
      <c r="H242" s="18">
        <f t="shared" si="15"/>
        <v>5.4994467600000006E-2</v>
      </c>
      <c r="K242">
        <v>2.0840000000000001E-2</v>
      </c>
      <c r="L242">
        <v>9.81</v>
      </c>
    </row>
    <row r="243" spans="1:12" x14ac:dyDescent="0.3">
      <c r="A243" s="11">
        <v>4.0170000000000003</v>
      </c>
      <c r="B243" s="12">
        <v>0.26600000000000001</v>
      </c>
      <c r="C243" s="13">
        <v>-7.6730000000000007E-2</v>
      </c>
      <c r="D243" s="15">
        <v>0</v>
      </c>
      <c r="E243" s="17">
        <f t="shared" si="12"/>
        <v>7.6730000000000007E-2</v>
      </c>
      <c r="F243" s="14">
        <f t="shared" si="13"/>
        <v>5.4381146400000011E-2</v>
      </c>
      <c r="G243" s="16">
        <f t="shared" si="14"/>
        <v>6.1347676018000009E-5</v>
      </c>
      <c r="H243" s="18">
        <f t="shared" si="15"/>
        <v>5.4442494076018012E-2</v>
      </c>
      <c r="K243">
        <v>2.0840000000000001E-2</v>
      </c>
      <c r="L243">
        <v>9.81</v>
      </c>
    </row>
    <row r="244" spans="1:12" x14ac:dyDescent="0.3">
      <c r="A244" s="11">
        <v>4.0330000000000004</v>
      </c>
      <c r="B244" s="12">
        <v>0.26900000000000002</v>
      </c>
      <c r="C244" s="13">
        <v>0.23</v>
      </c>
      <c r="D244" s="15">
        <v>0.153</v>
      </c>
      <c r="E244" s="17">
        <f t="shared" si="12"/>
        <v>0.27624083695210599</v>
      </c>
      <c r="F244" s="14">
        <f t="shared" si="13"/>
        <v>5.4994467600000006E-2</v>
      </c>
      <c r="G244" s="16">
        <f t="shared" si="14"/>
        <v>7.9513978000000018E-4</v>
      </c>
      <c r="H244" s="18">
        <f t="shared" si="15"/>
        <v>5.5789607380000009E-2</v>
      </c>
      <c r="K244">
        <v>2.0840000000000001E-2</v>
      </c>
      <c r="L244">
        <v>9.81</v>
      </c>
    </row>
    <row r="245" spans="1:12" x14ac:dyDescent="0.3">
      <c r="A245" s="11">
        <v>4.05</v>
      </c>
      <c r="B245" s="12">
        <v>0.27100000000000002</v>
      </c>
      <c r="C245" s="13">
        <v>0.153</v>
      </c>
      <c r="D245" s="15">
        <v>-0.153</v>
      </c>
      <c r="E245" s="17">
        <f t="shared" si="12"/>
        <v>0.21637467504308353</v>
      </c>
      <c r="F245" s="14">
        <f t="shared" si="13"/>
        <v>5.540334840000001E-2</v>
      </c>
      <c r="G245" s="16">
        <f t="shared" si="14"/>
        <v>4.8784355999999994E-4</v>
      </c>
      <c r="H245" s="18">
        <f t="shared" si="15"/>
        <v>5.589119196000001E-2</v>
      </c>
      <c r="K245">
        <v>2.0840000000000001E-2</v>
      </c>
      <c r="L245">
        <v>9.81</v>
      </c>
    </row>
    <row r="246" spans="1:12" x14ac:dyDescent="0.3">
      <c r="A246" s="11">
        <v>4.0670000000000002</v>
      </c>
      <c r="B246" s="12">
        <v>0.26300000000000001</v>
      </c>
      <c r="C246" s="13">
        <v>0.23</v>
      </c>
      <c r="D246" s="15">
        <v>-0.307</v>
      </c>
      <c r="E246" s="17">
        <f t="shared" si="12"/>
        <v>0.38360005213763981</v>
      </c>
      <c r="F246" s="14">
        <f t="shared" si="13"/>
        <v>5.3767825200000008E-2</v>
      </c>
      <c r="G246" s="16">
        <f t="shared" si="14"/>
        <v>1.5332925799999998E-3</v>
      </c>
      <c r="H246" s="18">
        <f t="shared" si="15"/>
        <v>5.5301117780000006E-2</v>
      </c>
      <c r="K246">
        <v>2.0840000000000001E-2</v>
      </c>
      <c r="L246">
        <v>9.81</v>
      </c>
    </row>
    <row r="247" spans="1:12" x14ac:dyDescent="0.3">
      <c r="A247" s="11">
        <v>4.0830000000000002</v>
      </c>
      <c r="B247" s="12">
        <v>0.26100000000000001</v>
      </c>
      <c r="C247" s="13">
        <v>0.38400000000000001</v>
      </c>
      <c r="D247" s="15">
        <v>-7.6730000000000007E-2</v>
      </c>
      <c r="E247" s="17">
        <f t="shared" si="12"/>
        <v>0.39159097653035879</v>
      </c>
      <c r="F247" s="14">
        <f t="shared" si="13"/>
        <v>5.3358944400000011E-2</v>
      </c>
      <c r="G247" s="16">
        <f t="shared" si="14"/>
        <v>1.5978391960180002E-3</v>
      </c>
      <c r="H247" s="18">
        <f t="shared" si="15"/>
        <v>5.4956783596018008E-2</v>
      </c>
      <c r="K247">
        <v>2.0840000000000001E-2</v>
      </c>
      <c r="L247">
        <v>9.81</v>
      </c>
    </row>
    <row r="248" spans="1:12" x14ac:dyDescent="0.3">
      <c r="A248" s="11">
        <v>4.0999999999999996</v>
      </c>
      <c r="B248" s="12">
        <v>0.26100000000000001</v>
      </c>
      <c r="C248" s="13">
        <v>0.307</v>
      </c>
      <c r="D248" s="15">
        <v>-0.307</v>
      </c>
      <c r="E248" s="17">
        <f t="shared" si="12"/>
        <v>0.4341635636485402</v>
      </c>
      <c r="F248" s="14">
        <f t="shared" si="13"/>
        <v>5.3358944400000011E-2</v>
      </c>
      <c r="G248" s="16">
        <f t="shared" si="14"/>
        <v>1.9641491600000003E-3</v>
      </c>
      <c r="H248" s="18">
        <f t="shared" si="15"/>
        <v>5.5323093560000008E-2</v>
      </c>
      <c r="K248">
        <v>2.0840000000000001E-2</v>
      </c>
      <c r="L248">
        <v>9.81</v>
      </c>
    </row>
    <row r="249" spans="1:12" x14ac:dyDescent="0.3">
      <c r="A249" s="11">
        <v>4.117</v>
      </c>
      <c r="B249" s="12">
        <v>0.251</v>
      </c>
      <c r="C249" s="13">
        <v>0.61399999999999999</v>
      </c>
      <c r="D249" s="15">
        <v>-0.46</v>
      </c>
      <c r="E249" s="17">
        <f t="shared" si="12"/>
        <v>0.76720010427527963</v>
      </c>
      <c r="F249" s="14">
        <f t="shared" si="13"/>
        <v>5.1314540400000004E-2</v>
      </c>
      <c r="G249" s="16">
        <f t="shared" si="14"/>
        <v>6.133170319999999E-3</v>
      </c>
      <c r="H249" s="18">
        <f t="shared" si="15"/>
        <v>5.7447710720000003E-2</v>
      </c>
      <c r="K249">
        <v>2.0840000000000001E-2</v>
      </c>
      <c r="L249">
        <v>9.81</v>
      </c>
    </row>
    <row r="250" spans="1:12" x14ac:dyDescent="0.3">
      <c r="A250" s="11">
        <v>4.133</v>
      </c>
      <c r="B250" s="12">
        <v>0.246</v>
      </c>
      <c r="C250" s="13">
        <v>0.76700000000000002</v>
      </c>
      <c r="D250" s="15">
        <v>-0.53700000000000003</v>
      </c>
      <c r="E250" s="17">
        <f t="shared" si="12"/>
        <v>0.93630016554521667</v>
      </c>
      <c r="F250" s="14">
        <f t="shared" si="13"/>
        <v>5.0292338400000004E-2</v>
      </c>
      <c r="G250" s="16">
        <f t="shared" si="14"/>
        <v>9.1347763600000027E-3</v>
      </c>
      <c r="H250" s="18">
        <f t="shared" si="15"/>
        <v>5.942711476000001E-2</v>
      </c>
      <c r="K250">
        <v>2.0840000000000001E-2</v>
      </c>
      <c r="L250">
        <v>9.81</v>
      </c>
    </row>
    <row r="251" spans="1:12" x14ac:dyDescent="0.3">
      <c r="A251" s="11">
        <v>4.1500000000000004</v>
      </c>
      <c r="B251" s="12">
        <v>0.23300000000000001</v>
      </c>
      <c r="C251" s="13">
        <v>0.69099999999999995</v>
      </c>
      <c r="D251" s="15">
        <v>-0.61399999999999999</v>
      </c>
      <c r="E251" s="17">
        <f t="shared" si="12"/>
        <v>0.92437925117345632</v>
      </c>
      <c r="F251" s="14">
        <f t="shared" si="13"/>
        <v>4.7634613200000009E-2</v>
      </c>
      <c r="G251" s="16">
        <f t="shared" si="14"/>
        <v>8.9036503399999977E-3</v>
      </c>
      <c r="H251" s="18">
        <f t="shared" si="15"/>
        <v>5.6538263540000008E-2</v>
      </c>
      <c r="K251">
        <v>2.0840000000000001E-2</v>
      </c>
      <c r="L251">
        <v>9.81</v>
      </c>
    </row>
    <row r="252" spans="1:12" x14ac:dyDescent="0.3">
      <c r="A252" s="11">
        <v>4.1669999999999998</v>
      </c>
      <c r="B252" s="12">
        <v>0.22500000000000001</v>
      </c>
      <c r="C252" s="13">
        <v>0.61399999999999999</v>
      </c>
      <c r="D252" s="15">
        <v>-0.53700000000000003</v>
      </c>
      <c r="E252" s="17">
        <f t="shared" si="12"/>
        <v>0.81569908667351099</v>
      </c>
      <c r="F252" s="14">
        <f t="shared" si="13"/>
        <v>4.5999090000000006E-2</v>
      </c>
      <c r="G252" s="16">
        <f t="shared" si="14"/>
        <v>6.9331033E-3</v>
      </c>
      <c r="H252" s="18">
        <f t="shared" si="15"/>
        <v>5.2932193300000006E-2</v>
      </c>
      <c r="K252">
        <v>2.0840000000000001E-2</v>
      </c>
      <c r="L252">
        <v>9.81</v>
      </c>
    </row>
    <row r="253" spans="1:12" x14ac:dyDescent="0.3">
      <c r="A253" s="11">
        <v>4.1829999999999998</v>
      </c>
      <c r="B253" s="12">
        <v>0.215</v>
      </c>
      <c r="C253" s="13">
        <v>0.997</v>
      </c>
      <c r="D253" s="15">
        <v>-0.69099999999999995</v>
      </c>
      <c r="E253" s="17">
        <f t="shared" si="12"/>
        <v>1.213049875314284</v>
      </c>
      <c r="F253" s="14">
        <f t="shared" si="13"/>
        <v>4.3954686000000007E-2</v>
      </c>
      <c r="G253" s="16">
        <f t="shared" si="14"/>
        <v>1.5332925800000001E-2</v>
      </c>
      <c r="H253" s="18">
        <f t="shared" si="15"/>
        <v>5.9287611800000008E-2</v>
      </c>
      <c r="K253">
        <v>2.0840000000000001E-2</v>
      </c>
      <c r="L253">
        <v>9.81</v>
      </c>
    </row>
    <row r="254" spans="1:12" x14ac:dyDescent="0.3">
      <c r="A254" s="11">
        <v>4.2</v>
      </c>
      <c r="B254" s="12">
        <v>0.20200000000000001</v>
      </c>
      <c r="C254" s="13">
        <v>1.304</v>
      </c>
      <c r="D254" s="15">
        <v>-0.76700000000000002</v>
      </c>
      <c r="E254" s="17">
        <f t="shared" si="12"/>
        <v>1.5128466544894761</v>
      </c>
      <c r="F254" s="14">
        <f t="shared" si="13"/>
        <v>4.1296960800000004E-2</v>
      </c>
      <c r="G254" s="16">
        <f t="shared" si="14"/>
        <v>2.3848306100000004E-2</v>
      </c>
      <c r="H254" s="18">
        <f t="shared" si="15"/>
        <v>6.5145266900000012E-2</v>
      </c>
      <c r="K254">
        <v>2.0840000000000001E-2</v>
      </c>
      <c r="L254">
        <v>9.81</v>
      </c>
    </row>
    <row r="255" spans="1:12" x14ac:dyDescent="0.3">
      <c r="A255" s="11">
        <v>4.2169999999999996</v>
      </c>
      <c r="B255" s="12">
        <v>0.189</v>
      </c>
      <c r="C255" s="13">
        <v>1.0740000000000001</v>
      </c>
      <c r="D255" s="15">
        <v>-0.76700000000000002</v>
      </c>
      <c r="E255" s="17">
        <f t="shared" si="12"/>
        <v>1.3197594477782686</v>
      </c>
      <c r="F255" s="14">
        <f t="shared" si="13"/>
        <v>3.8639235600000002E-2</v>
      </c>
      <c r="G255" s="16">
        <f t="shared" si="14"/>
        <v>1.8149191300000006E-2</v>
      </c>
      <c r="H255" s="18">
        <f t="shared" si="15"/>
        <v>5.6788426900000008E-2</v>
      </c>
      <c r="K255">
        <v>2.0840000000000001E-2</v>
      </c>
      <c r="L255">
        <v>9.81</v>
      </c>
    </row>
    <row r="256" spans="1:12" x14ac:dyDescent="0.3">
      <c r="A256" s="11">
        <v>4.2329999999999997</v>
      </c>
      <c r="B256" s="12">
        <v>0.17599999999999999</v>
      </c>
      <c r="C256" s="13">
        <v>1.151</v>
      </c>
      <c r="D256" s="15">
        <v>-0.69099999999999995</v>
      </c>
      <c r="E256" s="17">
        <f t="shared" si="12"/>
        <v>1.3424909683122639</v>
      </c>
      <c r="F256" s="14">
        <f t="shared" si="13"/>
        <v>3.59815104E-2</v>
      </c>
      <c r="G256" s="16">
        <f t="shared" si="14"/>
        <v>1.8779778439999999E-2</v>
      </c>
      <c r="H256" s="18">
        <f t="shared" si="15"/>
        <v>5.4761288839999998E-2</v>
      </c>
      <c r="K256">
        <v>2.0840000000000001E-2</v>
      </c>
      <c r="L256">
        <v>9.81</v>
      </c>
    </row>
    <row r="257" spans="1:12" x14ac:dyDescent="0.3">
      <c r="A257" s="11">
        <v>4.25</v>
      </c>
      <c r="B257" s="12">
        <v>0.16600000000000001</v>
      </c>
      <c r="C257" s="13">
        <v>1.228</v>
      </c>
      <c r="D257" s="15">
        <v>-0.69099999999999995</v>
      </c>
      <c r="E257" s="17">
        <f t="shared" si="12"/>
        <v>1.4090652930222929</v>
      </c>
      <c r="F257" s="14">
        <f t="shared" si="13"/>
        <v>3.3937106400000007E-2</v>
      </c>
      <c r="G257" s="16">
        <f t="shared" si="14"/>
        <v>2.06885453E-2</v>
      </c>
      <c r="H257" s="18">
        <f t="shared" si="15"/>
        <v>5.4625651700000007E-2</v>
      </c>
      <c r="K257">
        <v>2.0840000000000001E-2</v>
      </c>
      <c r="L257">
        <v>9.81</v>
      </c>
    </row>
    <row r="258" spans="1:12" x14ac:dyDescent="0.3">
      <c r="A258" s="11">
        <v>4.2670000000000003</v>
      </c>
      <c r="B258" s="12">
        <v>0.153</v>
      </c>
      <c r="C258" s="13">
        <v>1.381</v>
      </c>
      <c r="D258" s="15">
        <v>-0.92100000000000004</v>
      </c>
      <c r="E258" s="17">
        <f t="shared" si="12"/>
        <v>1.6599403603744323</v>
      </c>
      <c r="F258" s="14">
        <f t="shared" si="13"/>
        <v>3.1279381200000005E-2</v>
      </c>
      <c r="G258" s="16">
        <f t="shared" si="14"/>
        <v>2.8711288840000002E-2</v>
      </c>
      <c r="H258" s="18">
        <f t="shared" si="15"/>
        <v>5.9990670040000006E-2</v>
      </c>
      <c r="K258">
        <v>2.0840000000000001E-2</v>
      </c>
      <c r="L258">
        <v>9.81</v>
      </c>
    </row>
    <row r="259" spans="1:12" x14ac:dyDescent="0.3">
      <c r="A259" s="11">
        <v>4.2830000000000004</v>
      </c>
      <c r="B259" s="12">
        <v>0.13600000000000001</v>
      </c>
      <c r="C259" s="13">
        <v>1.7649999999999999</v>
      </c>
      <c r="D259" s="15">
        <v>-0.84399999999999997</v>
      </c>
      <c r="E259" s="17">
        <f t="shared" ref="E259:E322" si="16">SQRT((C259)^(2)+(D259)^(2))</f>
        <v>1.9564153444501502</v>
      </c>
      <c r="F259" s="14">
        <f t="shared" ref="F259:F322" si="17">(K259*L259*B259)</f>
        <v>2.7803894400000004E-2</v>
      </c>
      <c r="G259" s="16">
        <f t="shared" ref="G259:G322" si="18">(K259*(E259)^(2))/(2)</f>
        <v>3.9883185619999997E-2</v>
      </c>
      <c r="H259" s="18">
        <f t="shared" si="15"/>
        <v>6.7687080019999998E-2</v>
      </c>
      <c r="K259">
        <v>2.0840000000000001E-2</v>
      </c>
      <c r="L259">
        <v>9.81</v>
      </c>
    </row>
    <row r="260" spans="1:12" x14ac:dyDescent="0.3">
      <c r="A260" s="11">
        <v>4.3</v>
      </c>
      <c r="B260" s="12">
        <v>0.125</v>
      </c>
      <c r="C260" s="13">
        <v>1.841</v>
      </c>
      <c r="D260" s="15">
        <v>-0.69099999999999995</v>
      </c>
      <c r="E260" s="17">
        <f t="shared" si="16"/>
        <v>1.9664084011211913</v>
      </c>
      <c r="F260" s="14">
        <f t="shared" si="17"/>
        <v>2.5555050000000003E-2</v>
      </c>
      <c r="G260" s="16">
        <f t="shared" si="18"/>
        <v>4.0291660040000003E-2</v>
      </c>
      <c r="H260" s="18">
        <f t="shared" ref="H260:H323" si="19">(F260+G260)</f>
        <v>6.5846710040000006E-2</v>
      </c>
      <c r="K260">
        <v>2.0840000000000001E-2</v>
      </c>
      <c r="L260">
        <v>9.81</v>
      </c>
    </row>
    <row r="261" spans="1:12" x14ac:dyDescent="0.3">
      <c r="A261" s="11">
        <v>4.3170000000000002</v>
      </c>
      <c r="B261" s="12">
        <v>0.113</v>
      </c>
      <c r="C261" s="13">
        <v>1.841</v>
      </c>
      <c r="D261" s="15">
        <v>-0.76700000000000002</v>
      </c>
      <c r="E261" s="17">
        <f t="shared" si="16"/>
        <v>1.9943846168680703</v>
      </c>
      <c r="F261" s="14">
        <f t="shared" si="17"/>
        <v>2.3101765200000002E-2</v>
      </c>
      <c r="G261" s="16">
        <f t="shared" si="18"/>
        <v>4.1446279400000001E-2</v>
      </c>
      <c r="H261" s="18">
        <f t="shared" si="19"/>
        <v>6.4548044600000007E-2</v>
      </c>
      <c r="K261">
        <v>2.0840000000000001E-2</v>
      </c>
      <c r="L261">
        <v>9.81</v>
      </c>
    </row>
    <row r="262" spans="1:12" x14ac:dyDescent="0.3">
      <c r="A262" s="11">
        <v>4.3330000000000002</v>
      </c>
      <c r="B262" s="12">
        <v>9.9739999999999995E-2</v>
      </c>
      <c r="C262" s="13">
        <v>1.841</v>
      </c>
      <c r="D262" s="15">
        <v>-0.84399999999999997</v>
      </c>
      <c r="E262" s="17">
        <f t="shared" si="16"/>
        <v>2.0252449234598764</v>
      </c>
      <c r="F262" s="14">
        <f t="shared" si="17"/>
        <v>2.0390885496000002E-2</v>
      </c>
      <c r="G262" s="16">
        <f t="shared" si="18"/>
        <v>4.2738849140000014E-2</v>
      </c>
      <c r="H262" s="18">
        <f t="shared" si="19"/>
        <v>6.3129734636000023E-2</v>
      </c>
      <c r="K262">
        <v>2.0840000000000001E-2</v>
      </c>
      <c r="L262">
        <v>9.81</v>
      </c>
    </row>
    <row r="263" spans="1:12" x14ac:dyDescent="0.3">
      <c r="A263" s="11">
        <v>4.3499999999999996</v>
      </c>
      <c r="B263" s="12">
        <v>8.4400000000000003E-2</v>
      </c>
      <c r="C263" s="13">
        <v>2.0720000000000001</v>
      </c>
      <c r="D263" s="15">
        <v>-0.84399999999999997</v>
      </c>
      <c r="E263" s="17">
        <f t="shared" si="16"/>
        <v>2.2373019465418609</v>
      </c>
      <c r="F263" s="14">
        <f t="shared" si="17"/>
        <v>1.7254769760000004E-2</v>
      </c>
      <c r="G263" s="16">
        <f t="shared" si="18"/>
        <v>5.2157518399999998E-2</v>
      </c>
      <c r="H263" s="18">
        <f t="shared" si="19"/>
        <v>6.9412288160000002E-2</v>
      </c>
      <c r="K263">
        <v>2.0840000000000001E-2</v>
      </c>
      <c r="L263">
        <v>9.81</v>
      </c>
    </row>
    <row r="264" spans="1:12" x14ac:dyDescent="0.3">
      <c r="A264" s="11">
        <v>4.367</v>
      </c>
      <c r="B264" s="12">
        <v>7.1609999999999993E-2</v>
      </c>
      <c r="C264" s="13">
        <v>2.1480000000000001</v>
      </c>
      <c r="D264" s="15">
        <v>-0.84399999999999997</v>
      </c>
      <c r="E264" s="17">
        <f t="shared" si="16"/>
        <v>2.3078648140651565</v>
      </c>
      <c r="F264" s="14">
        <f t="shared" si="17"/>
        <v>1.4639977044E-2</v>
      </c>
      <c r="G264" s="16">
        <f t="shared" si="18"/>
        <v>5.5499420799999998E-2</v>
      </c>
      <c r="H264" s="18">
        <f t="shared" si="19"/>
        <v>7.0139397844000001E-2</v>
      </c>
      <c r="K264">
        <v>2.0840000000000001E-2</v>
      </c>
      <c r="L264">
        <v>9.81</v>
      </c>
    </row>
    <row r="265" spans="1:12" x14ac:dyDescent="0.3">
      <c r="A265" s="11">
        <v>4.383</v>
      </c>
      <c r="B265" s="12">
        <v>5.6270000000000001E-2</v>
      </c>
      <c r="C265" s="13">
        <v>1.9950000000000001</v>
      </c>
      <c r="D265" s="15">
        <v>-0.84399999999999997</v>
      </c>
      <c r="E265" s="17">
        <f t="shared" si="16"/>
        <v>2.1661858184375595</v>
      </c>
      <c r="F265" s="14">
        <f t="shared" si="17"/>
        <v>1.1503861308000001E-2</v>
      </c>
      <c r="G265" s="16">
        <f t="shared" si="18"/>
        <v>4.889440162E-2</v>
      </c>
      <c r="H265" s="18">
        <f t="shared" si="19"/>
        <v>6.0398262928000004E-2</v>
      </c>
      <c r="K265">
        <v>2.0840000000000001E-2</v>
      </c>
      <c r="L265">
        <v>9.81</v>
      </c>
    </row>
    <row r="266" spans="1:12" x14ac:dyDescent="0.3">
      <c r="A266" s="11">
        <v>4.4000000000000004</v>
      </c>
      <c r="B266" s="12">
        <v>4.3479999999999998E-2</v>
      </c>
      <c r="C266" s="13">
        <v>2.1480000000000001</v>
      </c>
      <c r="D266" s="15">
        <v>-0.46</v>
      </c>
      <c r="E266" s="17">
        <f t="shared" si="16"/>
        <v>2.1967029840194603</v>
      </c>
      <c r="F266" s="14">
        <f t="shared" si="17"/>
        <v>8.8890685920000011E-3</v>
      </c>
      <c r="G266" s="16">
        <f t="shared" si="18"/>
        <v>5.0281751680000014E-2</v>
      </c>
      <c r="H266" s="18">
        <f t="shared" si="19"/>
        <v>5.9170820272000019E-2</v>
      </c>
      <c r="K266">
        <v>2.0840000000000001E-2</v>
      </c>
      <c r="L266">
        <v>9.81</v>
      </c>
    </row>
    <row r="267" spans="1:12" x14ac:dyDescent="0.3">
      <c r="A267" s="11">
        <v>4.4169999999999998</v>
      </c>
      <c r="B267" s="12">
        <v>4.0919999999999998E-2</v>
      </c>
      <c r="C267" s="13">
        <v>2.302</v>
      </c>
      <c r="D267" s="15">
        <v>-0.307</v>
      </c>
      <c r="E267" s="17">
        <f t="shared" si="16"/>
        <v>2.322380890379526</v>
      </c>
      <c r="F267" s="14">
        <f t="shared" si="17"/>
        <v>8.3657011680000008E-3</v>
      </c>
      <c r="G267" s="16">
        <f t="shared" si="18"/>
        <v>5.6199780260000005E-2</v>
      </c>
      <c r="H267" s="18">
        <f t="shared" si="19"/>
        <v>6.4565481428000004E-2</v>
      </c>
      <c r="K267">
        <v>2.0840000000000001E-2</v>
      </c>
      <c r="L267">
        <v>9.81</v>
      </c>
    </row>
    <row r="268" spans="1:12" x14ac:dyDescent="0.3">
      <c r="A268" s="11">
        <v>4.4329999999999998</v>
      </c>
      <c r="B268" s="12">
        <v>3.3250000000000002E-2</v>
      </c>
      <c r="C268" s="13">
        <v>2.302</v>
      </c>
      <c r="D268" s="15">
        <v>-0.61399999999999999</v>
      </c>
      <c r="E268" s="17">
        <f t="shared" si="16"/>
        <v>2.3824777018893588</v>
      </c>
      <c r="F268" s="14">
        <f t="shared" si="17"/>
        <v>6.7976433000000013E-3</v>
      </c>
      <c r="G268" s="16">
        <f t="shared" si="18"/>
        <v>5.9146004000000009E-2</v>
      </c>
      <c r="H268" s="18">
        <f t="shared" si="19"/>
        <v>6.5943647300000005E-2</v>
      </c>
      <c r="K268">
        <v>2.0840000000000001E-2</v>
      </c>
      <c r="L268">
        <v>9.81</v>
      </c>
    </row>
    <row r="269" spans="1:12" x14ac:dyDescent="0.3">
      <c r="A269" s="11">
        <v>4.45</v>
      </c>
      <c r="B269" s="12">
        <v>2.0459999999999999E-2</v>
      </c>
      <c r="C269" s="13">
        <v>2.4550000000000001</v>
      </c>
      <c r="D269" s="15">
        <v>-0.61399999999999999</v>
      </c>
      <c r="E269" s="17">
        <f t="shared" si="16"/>
        <v>2.5306167232514687</v>
      </c>
      <c r="F269" s="14">
        <f t="shared" si="17"/>
        <v>4.1828505840000004E-3</v>
      </c>
      <c r="G269" s="16">
        <f t="shared" si="18"/>
        <v>6.6729898820000008E-2</v>
      </c>
      <c r="H269" s="18">
        <f t="shared" si="19"/>
        <v>7.0912749404000011E-2</v>
      </c>
      <c r="K269">
        <v>2.0840000000000001E-2</v>
      </c>
      <c r="L269">
        <v>9.81</v>
      </c>
    </row>
    <row r="270" spans="1:12" x14ac:dyDescent="0.3">
      <c r="A270" s="11">
        <v>4.4669999999999996</v>
      </c>
      <c r="B270" s="12">
        <v>1.2789999999999999E-2</v>
      </c>
      <c r="C270" s="13">
        <v>2.609</v>
      </c>
      <c r="D270" s="15">
        <v>-0.307</v>
      </c>
      <c r="E270" s="17">
        <f t="shared" si="16"/>
        <v>2.6270001903311693</v>
      </c>
      <c r="F270" s="14">
        <f t="shared" si="17"/>
        <v>2.6147927160000001E-3</v>
      </c>
      <c r="G270" s="16">
        <f t="shared" si="18"/>
        <v>7.190977459999999E-2</v>
      </c>
      <c r="H270" s="18">
        <f t="shared" si="19"/>
        <v>7.452456731599999E-2</v>
      </c>
      <c r="K270">
        <v>2.0840000000000001E-2</v>
      </c>
      <c r="L270">
        <v>9.81</v>
      </c>
    </row>
    <row r="271" spans="1:12" x14ac:dyDescent="0.3">
      <c r="A271" s="11">
        <v>4.4829999999999997</v>
      </c>
      <c r="B271" s="12">
        <v>1.023E-2</v>
      </c>
      <c r="C271" s="13">
        <v>2.4550000000000001</v>
      </c>
      <c r="D271" s="15">
        <v>-0.153</v>
      </c>
      <c r="E271" s="17">
        <f t="shared" si="16"/>
        <v>2.4597629967133012</v>
      </c>
      <c r="F271" s="14">
        <f t="shared" si="17"/>
        <v>2.0914252920000002E-3</v>
      </c>
      <c r="G271" s="16">
        <f t="shared" si="18"/>
        <v>6.3045522280000002E-2</v>
      </c>
      <c r="H271" s="18">
        <f t="shared" si="19"/>
        <v>6.5136947572000004E-2</v>
      </c>
      <c r="K271">
        <v>2.0840000000000001E-2</v>
      </c>
      <c r="L271">
        <v>9.81</v>
      </c>
    </row>
    <row r="272" spans="1:12" x14ac:dyDescent="0.3">
      <c r="A272" s="11">
        <v>4.5</v>
      </c>
      <c r="B272" s="12">
        <v>7.6730000000000001E-3</v>
      </c>
      <c r="C272" s="13">
        <v>2.532</v>
      </c>
      <c r="D272" s="15">
        <v>-0.307</v>
      </c>
      <c r="E272" s="17">
        <f t="shared" si="16"/>
        <v>2.5505436675344337</v>
      </c>
      <c r="F272" s="14">
        <f t="shared" si="17"/>
        <v>1.5686711892000003E-3</v>
      </c>
      <c r="G272" s="16">
        <f t="shared" si="18"/>
        <v>6.7784944659999999E-2</v>
      </c>
      <c r="H272" s="18">
        <f t="shared" si="19"/>
        <v>6.9353615849199995E-2</v>
      </c>
      <c r="K272">
        <v>2.0840000000000001E-2</v>
      </c>
      <c r="L272">
        <v>9.81</v>
      </c>
    </row>
    <row r="273" spans="1:12" x14ac:dyDescent="0.3">
      <c r="A273" s="11">
        <v>4.5170000000000003</v>
      </c>
      <c r="B273" s="12">
        <v>0</v>
      </c>
      <c r="C273" s="13">
        <v>2.4550000000000001</v>
      </c>
      <c r="D273" s="15">
        <v>-0.153</v>
      </c>
      <c r="E273" s="17">
        <f t="shared" si="16"/>
        <v>2.4597629967133012</v>
      </c>
      <c r="F273" s="14">
        <f t="shared" si="17"/>
        <v>0</v>
      </c>
      <c r="G273" s="16">
        <f t="shared" si="18"/>
        <v>6.3045522280000002E-2</v>
      </c>
      <c r="H273" s="18">
        <f t="shared" si="19"/>
        <v>6.3045522280000002E-2</v>
      </c>
      <c r="K273">
        <v>2.0840000000000001E-2</v>
      </c>
      <c r="L273">
        <v>9.81</v>
      </c>
    </row>
    <row r="274" spans="1:12" x14ac:dyDescent="0.3">
      <c r="A274" s="11">
        <v>4.5330000000000004</v>
      </c>
      <c r="B274" s="12">
        <v>2.5579999999999999E-3</v>
      </c>
      <c r="C274" s="13">
        <v>2.379</v>
      </c>
      <c r="D274" s="15">
        <v>0</v>
      </c>
      <c r="E274" s="17">
        <f t="shared" si="16"/>
        <v>2.379</v>
      </c>
      <c r="F274" s="14">
        <f t="shared" si="17"/>
        <v>5.2295854320000008E-4</v>
      </c>
      <c r="G274" s="16">
        <f t="shared" si="18"/>
        <v>5.8973459219999996E-2</v>
      </c>
      <c r="H274" s="18">
        <f t="shared" si="19"/>
        <v>5.9496417763199999E-2</v>
      </c>
      <c r="K274">
        <v>2.0840000000000001E-2</v>
      </c>
      <c r="L274">
        <v>9.81</v>
      </c>
    </row>
    <row r="275" spans="1:12" x14ac:dyDescent="0.3">
      <c r="A275" s="11">
        <v>4.55</v>
      </c>
      <c r="B275" s="12">
        <v>0</v>
      </c>
      <c r="C275" s="13">
        <v>2.532</v>
      </c>
      <c r="D275" s="15">
        <v>7.6730000000000007E-2</v>
      </c>
      <c r="E275" s="17">
        <f t="shared" si="16"/>
        <v>2.5331623502847189</v>
      </c>
      <c r="F275" s="14">
        <f t="shared" si="17"/>
        <v>0</v>
      </c>
      <c r="G275" s="16">
        <f t="shared" si="18"/>
        <v>6.6864217756018016E-2</v>
      </c>
      <c r="H275" s="18">
        <f t="shared" si="19"/>
        <v>6.6864217756018016E-2</v>
      </c>
      <c r="K275">
        <v>2.0840000000000001E-2</v>
      </c>
      <c r="L275">
        <v>9.81</v>
      </c>
    </row>
    <row r="276" spans="1:12" x14ac:dyDescent="0.3">
      <c r="A276" s="11">
        <v>4.5670000000000002</v>
      </c>
      <c r="B276" s="12">
        <v>5.1149999999999998E-3</v>
      </c>
      <c r="C276" s="13">
        <v>2.532</v>
      </c>
      <c r="D276" s="15">
        <v>0.307</v>
      </c>
      <c r="E276" s="17">
        <f t="shared" si="16"/>
        <v>2.5505436675344337</v>
      </c>
      <c r="F276" s="14">
        <f t="shared" si="17"/>
        <v>1.0457126460000001E-3</v>
      </c>
      <c r="G276" s="16">
        <f t="shared" si="18"/>
        <v>6.7784944659999999E-2</v>
      </c>
      <c r="H276" s="18">
        <f t="shared" si="19"/>
        <v>6.8830657305999993E-2</v>
      </c>
      <c r="K276">
        <v>2.0840000000000001E-2</v>
      </c>
      <c r="L276">
        <v>9.81</v>
      </c>
    </row>
    <row r="277" spans="1:12" x14ac:dyDescent="0.3">
      <c r="A277" s="11">
        <v>4.5830000000000002</v>
      </c>
      <c r="B277" s="12">
        <v>1.023E-2</v>
      </c>
      <c r="C277" s="13">
        <v>2.379</v>
      </c>
      <c r="D277" s="15">
        <v>0.307</v>
      </c>
      <c r="E277" s="17">
        <f t="shared" si="16"/>
        <v>2.3987267455881671</v>
      </c>
      <c r="F277" s="14">
        <f t="shared" si="17"/>
        <v>2.0914252920000002E-3</v>
      </c>
      <c r="G277" s="16">
        <f t="shared" si="18"/>
        <v>5.9955533799999995E-2</v>
      </c>
      <c r="H277" s="18">
        <f t="shared" si="19"/>
        <v>6.2046959091999997E-2</v>
      </c>
      <c r="K277">
        <v>2.0840000000000001E-2</v>
      </c>
      <c r="L277">
        <v>9.81</v>
      </c>
    </row>
    <row r="278" spans="1:12" x14ac:dyDescent="0.3">
      <c r="A278" s="11">
        <v>4.5999999999999996</v>
      </c>
      <c r="B278" s="12">
        <v>1.5350000000000001E-2</v>
      </c>
      <c r="C278" s="13">
        <v>2.532</v>
      </c>
      <c r="D278" s="15">
        <v>0.307</v>
      </c>
      <c r="E278" s="17">
        <f t="shared" si="16"/>
        <v>2.5505436675344337</v>
      </c>
      <c r="F278" s="14">
        <f t="shared" si="17"/>
        <v>3.1381601400000004E-3</v>
      </c>
      <c r="G278" s="16">
        <f t="shared" si="18"/>
        <v>6.7784944659999999E-2</v>
      </c>
      <c r="H278" s="18">
        <f t="shared" si="19"/>
        <v>7.0923104799999998E-2</v>
      </c>
      <c r="K278">
        <v>2.0840000000000001E-2</v>
      </c>
      <c r="L278">
        <v>9.81</v>
      </c>
    </row>
    <row r="279" spans="1:12" x14ac:dyDescent="0.3">
      <c r="A279" s="11">
        <v>4.617</v>
      </c>
      <c r="B279" s="12">
        <v>2.0459999999999999E-2</v>
      </c>
      <c r="C279" s="13">
        <v>2.4550000000000001</v>
      </c>
      <c r="D279" s="15">
        <v>0.38400000000000001</v>
      </c>
      <c r="E279" s="17">
        <f t="shared" si="16"/>
        <v>2.4848502973016302</v>
      </c>
      <c r="F279" s="14">
        <f t="shared" si="17"/>
        <v>4.1828505840000004E-3</v>
      </c>
      <c r="G279" s="16">
        <f t="shared" si="18"/>
        <v>6.4338092020000001E-2</v>
      </c>
      <c r="H279" s="18">
        <f t="shared" si="19"/>
        <v>6.8520942604000004E-2</v>
      </c>
      <c r="K279">
        <v>2.0840000000000001E-2</v>
      </c>
      <c r="L279">
        <v>9.81</v>
      </c>
    </row>
    <row r="280" spans="1:12" x14ac:dyDescent="0.3">
      <c r="A280" s="11">
        <v>4.633</v>
      </c>
      <c r="B280" s="12">
        <v>2.8129999999999999E-2</v>
      </c>
      <c r="C280" s="13">
        <v>2.302</v>
      </c>
      <c r="D280" s="15">
        <v>0.46</v>
      </c>
      <c r="E280" s="17">
        <f t="shared" si="16"/>
        <v>2.3475101703720052</v>
      </c>
      <c r="F280" s="14">
        <f t="shared" si="17"/>
        <v>5.7509084520000007E-3</v>
      </c>
      <c r="G280" s="16">
        <f t="shared" si="18"/>
        <v>5.7422577680000003E-2</v>
      </c>
      <c r="H280" s="18">
        <f t="shared" si="19"/>
        <v>6.3173486132000009E-2</v>
      </c>
      <c r="K280">
        <v>2.0840000000000001E-2</v>
      </c>
      <c r="L280">
        <v>9.81</v>
      </c>
    </row>
    <row r="281" spans="1:12" x14ac:dyDescent="0.3">
      <c r="A281" s="11">
        <v>4.6500000000000004</v>
      </c>
      <c r="B281" s="12">
        <v>3.5810000000000002E-2</v>
      </c>
      <c r="C281" s="13">
        <v>2.302</v>
      </c>
      <c r="D281" s="15">
        <v>0.53700000000000003</v>
      </c>
      <c r="E281" s="17">
        <f t="shared" si="16"/>
        <v>2.3638047719725082</v>
      </c>
      <c r="F281" s="14">
        <f t="shared" si="17"/>
        <v>7.3210107240000008E-3</v>
      </c>
      <c r="G281" s="16">
        <f t="shared" si="18"/>
        <v>5.8222510660000018E-2</v>
      </c>
      <c r="H281" s="18">
        <f t="shared" si="19"/>
        <v>6.554352138400002E-2</v>
      </c>
      <c r="K281">
        <v>2.0840000000000001E-2</v>
      </c>
      <c r="L281">
        <v>9.81</v>
      </c>
    </row>
    <row r="282" spans="1:12" x14ac:dyDescent="0.3">
      <c r="A282" s="11">
        <v>4.6669999999999998</v>
      </c>
      <c r="B282" s="12">
        <v>4.6039999999999998E-2</v>
      </c>
      <c r="C282" s="13">
        <v>2.302</v>
      </c>
      <c r="D282" s="15">
        <v>0.61399999999999999</v>
      </c>
      <c r="E282" s="17">
        <f t="shared" si="16"/>
        <v>2.3824777018893588</v>
      </c>
      <c r="F282" s="14">
        <f t="shared" si="17"/>
        <v>9.4124360160000014E-3</v>
      </c>
      <c r="G282" s="16">
        <f t="shared" si="18"/>
        <v>5.9146004000000009E-2</v>
      </c>
      <c r="H282" s="18">
        <f t="shared" si="19"/>
        <v>6.8558440016000005E-2</v>
      </c>
      <c r="K282">
        <v>2.0840000000000001E-2</v>
      </c>
      <c r="L282">
        <v>9.81</v>
      </c>
    </row>
    <row r="283" spans="1:12" x14ac:dyDescent="0.3">
      <c r="A283" s="11">
        <v>4.6829999999999998</v>
      </c>
      <c r="B283" s="12">
        <v>5.6270000000000001E-2</v>
      </c>
      <c r="C283" s="13">
        <v>1.9950000000000001</v>
      </c>
      <c r="D283" s="15">
        <v>0.76700000000000002</v>
      </c>
      <c r="E283" s="17">
        <f t="shared" si="16"/>
        <v>2.1373614574984741</v>
      </c>
      <c r="F283" s="14">
        <f t="shared" si="17"/>
        <v>1.1503861308000001E-2</v>
      </c>
      <c r="G283" s="16">
        <f t="shared" si="18"/>
        <v>4.7601831880000021E-2</v>
      </c>
      <c r="H283" s="18">
        <f t="shared" si="19"/>
        <v>5.9105693188000019E-2</v>
      </c>
      <c r="K283">
        <v>2.0840000000000001E-2</v>
      </c>
      <c r="L283">
        <v>9.81</v>
      </c>
    </row>
    <row r="284" spans="1:12" x14ac:dyDescent="0.3">
      <c r="A284" s="11">
        <v>4.7</v>
      </c>
      <c r="B284" s="12">
        <v>7.1609999999999993E-2</v>
      </c>
      <c r="C284" s="13">
        <v>1.9950000000000001</v>
      </c>
      <c r="D284" s="15">
        <v>0.76700000000000002</v>
      </c>
      <c r="E284" s="17">
        <f t="shared" si="16"/>
        <v>2.1373614574984741</v>
      </c>
      <c r="F284" s="14">
        <f t="shared" si="17"/>
        <v>1.4639977044E-2</v>
      </c>
      <c r="G284" s="16">
        <f t="shared" si="18"/>
        <v>4.7601831880000021E-2</v>
      </c>
      <c r="H284" s="18">
        <f t="shared" si="19"/>
        <v>6.2241808924000025E-2</v>
      </c>
      <c r="K284">
        <v>2.0840000000000001E-2</v>
      </c>
      <c r="L284">
        <v>9.81</v>
      </c>
    </row>
    <row r="285" spans="1:12" x14ac:dyDescent="0.3">
      <c r="A285" s="11">
        <v>4.7169999999999996</v>
      </c>
      <c r="B285" s="12">
        <v>8.1839999999999996E-2</v>
      </c>
      <c r="C285" s="13">
        <v>2.0720000000000001</v>
      </c>
      <c r="D285" s="15">
        <v>0.84399999999999997</v>
      </c>
      <c r="E285" s="17">
        <f t="shared" si="16"/>
        <v>2.2373019465418609</v>
      </c>
      <c r="F285" s="14">
        <f t="shared" si="17"/>
        <v>1.6731402336000002E-2</v>
      </c>
      <c r="G285" s="16">
        <f t="shared" si="18"/>
        <v>5.2157518399999998E-2</v>
      </c>
      <c r="H285" s="18">
        <f t="shared" si="19"/>
        <v>6.8888920736000003E-2</v>
      </c>
      <c r="K285">
        <v>2.0840000000000001E-2</v>
      </c>
      <c r="L285">
        <v>9.81</v>
      </c>
    </row>
    <row r="286" spans="1:12" x14ac:dyDescent="0.3">
      <c r="A286" s="11">
        <v>4.7329999999999997</v>
      </c>
      <c r="B286" s="12">
        <v>9.9739999999999995E-2</v>
      </c>
      <c r="C286" s="13">
        <v>1.7649999999999999</v>
      </c>
      <c r="D286" s="15">
        <v>0.69099999999999995</v>
      </c>
      <c r="E286" s="17">
        <f t="shared" si="16"/>
        <v>1.89544348372617</v>
      </c>
      <c r="F286" s="14">
        <f t="shared" si="17"/>
        <v>2.0390885496000002E-2</v>
      </c>
      <c r="G286" s="16">
        <f t="shared" si="18"/>
        <v>3.7435996520000001E-2</v>
      </c>
      <c r="H286" s="18">
        <f t="shared" si="19"/>
        <v>5.7826882016000003E-2</v>
      </c>
      <c r="K286">
        <v>2.0840000000000001E-2</v>
      </c>
      <c r="L286">
        <v>9.81</v>
      </c>
    </row>
    <row r="287" spans="1:12" x14ac:dyDescent="0.3">
      <c r="A287" s="11">
        <v>4.75</v>
      </c>
      <c r="B287" s="12">
        <v>0.105</v>
      </c>
      <c r="C287" s="13">
        <v>1.7649999999999999</v>
      </c>
      <c r="D287" s="15">
        <v>0.69099999999999995</v>
      </c>
      <c r="E287" s="17">
        <f t="shared" si="16"/>
        <v>1.89544348372617</v>
      </c>
      <c r="F287" s="14">
        <f t="shared" si="17"/>
        <v>2.1466242E-2</v>
      </c>
      <c r="G287" s="16">
        <f t="shared" si="18"/>
        <v>3.7435996520000001E-2</v>
      </c>
      <c r="H287" s="18">
        <f t="shared" si="19"/>
        <v>5.8902238519999997E-2</v>
      </c>
      <c r="K287">
        <v>2.0840000000000001E-2</v>
      </c>
      <c r="L287">
        <v>9.81</v>
      </c>
    </row>
    <row r="288" spans="1:12" x14ac:dyDescent="0.3">
      <c r="A288" s="11">
        <v>4.7670000000000003</v>
      </c>
      <c r="B288" s="12">
        <v>0.123</v>
      </c>
      <c r="C288" s="13">
        <v>1.9179999999999999</v>
      </c>
      <c r="D288" s="15">
        <v>1.0740000000000001</v>
      </c>
      <c r="E288" s="17">
        <f t="shared" si="16"/>
        <v>2.1982265579325531</v>
      </c>
      <c r="F288" s="14">
        <f t="shared" si="17"/>
        <v>2.5146169200000002E-2</v>
      </c>
      <c r="G288" s="16">
        <f t="shared" si="18"/>
        <v>5.0351524000000002E-2</v>
      </c>
      <c r="H288" s="18">
        <f t="shared" si="19"/>
        <v>7.5497693200000007E-2</v>
      </c>
      <c r="K288">
        <v>2.0840000000000001E-2</v>
      </c>
      <c r="L288">
        <v>9.81</v>
      </c>
    </row>
    <row r="289" spans="1:12" x14ac:dyDescent="0.3">
      <c r="A289" s="11">
        <v>4.7830000000000004</v>
      </c>
      <c r="B289" s="12">
        <v>0.14099999999999999</v>
      </c>
      <c r="C289" s="13">
        <v>1.5349999999999999</v>
      </c>
      <c r="D289" s="15">
        <v>0.76700000000000002</v>
      </c>
      <c r="E289" s="17">
        <f t="shared" si="16"/>
        <v>1.7159586242098031</v>
      </c>
      <c r="F289" s="14">
        <f t="shared" si="17"/>
        <v>2.8826096400000001E-2</v>
      </c>
      <c r="G289" s="16">
        <f t="shared" si="18"/>
        <v>3.0681835880000004E-2</v>
      </c>
      <c r="H289" s="18">
        <f t="shared" si="19"/>
        <v>5.9507932280000009E-2</v>
      </c>
      <c r="K289">
        <v>2.0840000000000001E-2</v>
      </c>
      <c r="L289">
        <v>9.81</v>
      </c>
    </row>
    <row r="290" spans="1:12" x14ac:dyDescent="0.3">
      <c r="A290" s="11">
        <v>4.8</v>
      </c>
      <c r="B290" s="12">
        <v>0.14799999999999999</v>
      </c>
      <c r="C290" s="13">
        <v>1.0740000000000001</v>
      </c>
      <c r="D290" s="15">
        <v>0.69099999999999995</v>
      </c>
      <c r="E290" s="17">
        <f t="shared" si="16"/>
        <v>1.2770892686104602</v>
      </c>
      <c r="F290" s="14">
        <f t="shared" si="17"/>
        <v>3.0257179200000001E-2</v>
      </c>
      <c r="G290" s="16">
        <f t="shared" si="18"/>
        <v>1.6994571940000001E-2</v>
      </c>
      <c r="H290" s="18">
        <f t="shared" si="19"/>
        <v>4.7251751140000006E-2</v>
      </c>
      <c r="K290">
        <v>2.0840000000000001E-2</v>
      </c>
      <c r="L290">
        <v>9.81</v>
      </c>
    </row>
    <row r="291" spans="1:12" x14ac:dyDescent="0.3">
      <c r="A291" s="11">
        <v>4.8170000000000002</v>
      </c>
      <c r="B291" s="12">
        <v>0.16400000000000001</v>
      </c>
      <c r="C291" s="13">
        <v>1.458</v>
      </c>
      <c r="D291" s="15">
        <v>0.76700000000000002</v>
      </c>
      <c r="E291" s="17">
        <f t="shared" si="16"/>
        <v>1.6474383144749305</v>
      </c>
      <c r="F291" s="14">
        <f t="shared" si="17"/>
        <v>3.3528225600000003E-2</v>
      </c>
      <c r="G291" s="16">
        <f t="shared" si="18"/>
        <v>2.8280432259999998E-2</v>
      </c>
      <c r="H291" s="18">
        <f t="shared" si="19"/>
        <v>6.1808657860000005E-2</v>
      </c>
      <c r="K291">
        <v>2.0840000000000001E-2</v>
      </c>
      <c r="L291">
        <v>9.81</v>
      </c>
    </row>
    <row r="292" spans="1:12" x14ac:dyDescent="0.3">
      <c r="A292" s="11">
        <v>4.8330000000000002</v>
      </c>
      <c r="B292" s="12">
        <v>0.17399999999999999</v>
      </c>
      <c r="C292" s="13">
        <v>1.381</v>
      </c>
      <c r="D292" s="15">
        <v>0.69099999999999995</v>
      </c>
      <c r="E292" s="17">
        <f t="shared" si="16"/>
        <v>1.5442286100186073</v>
      </c>
      <c r="F292" s="14">
        <f t="shared" si="17"/>
        <v>3.5572629600000003E-2</v>
      </c>
      <c r="G292" s="16">
        <f t="shared" si="18"/>
        <v>2.4847969640000002E-2</v>
      </c>
      <c r="H292" s="18">
        <f t="shared" si="19"/>
        <v>6.0420599240000004E-2</v>
      </c>
      <c r="K292">
        <v>2.0840000000000001E-2</v>
      </c>
      <c r="L292">
        <v>9.81</v>
      </c>
    </row>
    <row r="293" spans="1:12" x14ac:dyDescent="0.3">
      <c r="A293" s="11">
        <v>4.8499999999999996</v>
      </c>
      <c r="B293" s="12">
        <v>0.187</v>
      </c>
      <c r="C293" s="13">
        <v>1.0740000000000001</v>
      </c>
      <c r="D293" s="15">
        <v>0.76700000000000002</v>
      </c>
      <c r="E293" s="17">
        <f t="shared" si="16"/>
        <v>1.3197594477782686</v>
      </c>
      <c r="F293" s="14">
        <f t="shared" si="17"/>
        <v>3.8230354800000005E-2</v>
      </c>
      <c r="G293" s="16">
        <f t="shared" si="18"/>
        <v>1.8149191300000006E-2</v>
      </c>
      <c r="H293" s="18">
        <f t="shared" si="19"/>
        <v>5.6379546100000011E-2</v>
      </c>
      <c r="K293">
        <v>2.0840000000000001E-2</v>
      </c>
      <c r="L293">
        <v>9.81</v>
      </c>
    </row>
    <row r="294" spans="1:12" x14ac:dyDescent="0.3">
      <c r="A294" s="11">
        <v>4.867</v>
      </c>
      <c r="B294" s="12">
        <v>0.19900000000000001</v>
      </c>
      <c r="C294" s="13">
        <v>0.997</v>
      </c>
      <c r="D294" s="15">
        <v>0.76700000000000002</v>
      </c>
      <c r="E294" s="17">
        <f t="shared" si="16"/>
        <v>1.2578942721866573</v>
      </c>
      <c r="F294" s="14">
        <f t="shared" si="17"/>
        <v>4.0683639600000009E-2</v>
      </c>
      <c r="G294" s="16">
        <f t="shared" si="18"/>
        <v>1.6487545160000002E-2</v>
      </c>
      <c r="H294" s="18">
        <f t="shared" si="19"/>
        <v>5.7171184760000007E-2</v>
      </c>
      <c r="K294">
        <v>2.0840000000000001E-2</v>
      </c>
      <c r="L294">
        <v>9.81</v>
      </c>
    </row>
    <row r="295" spans="1:12" x14ac:dyDescent="0.3">
      <c r="A295" s="11">
        <v>4.883</v>
      </c>
      <c r="B295" s="12">
        <v>0.21199999999999999</v>
      </c>
      <c r="C295" s="13">
        <v>0.92100000000000004</v>
      </c>
      <c r="D295" s="15">
        <v>0.69099999999999995</v>
      </c>
      <c r="E295" s="17">
        <f t="shared" si="16"/>
        <v>1.151400017370158</v>
      </c>
      <c r="F295" s="14">
        <f t="shared" si="17"/>
        <v>4.3341364800000004E-2</v>
      </c>
      <c r="G295" s="16">
        <f t="shared" si="18"/>
        <v>1.3814023240000001E-2</v>
      </c>
      <c r="H295" s="18">
        <f t="shared" si="19"/>
        <v>5.7155388040000005E-2</v>
      </c>
      <c r="K295">
        <v>2.0840000000000001E-2</v>
      </c>
      <c r="L295">
        <v>9.81</v>
      </c>
    </row>
    <row r="296" spans="1:12" x14ac:dyDescent="0.3">
      <c r="A296" s="11">
        <v>4.9000000000000004</v>
      </c>
      <c r="B296" s="12">
        <v>0.223</v>
      </c>
      <c r="C296" s="13">
        <v>0.92100000000000004</v>
      </c>
      <c r="D296" s="15">
        <v>0.76700000000000002</v>
      </c>
      <c r="E296" s="17">
        <f t="shared" si="16"/>
        <v>1.1985532946014541</v>
      </c>
      <c r="F296" s="14">
        <f t="shared" si="17"/>
        <v>4.5590209200000002E-2</v>
      </c>
      <c r="G296" s="16">
        <f t="shared" si="18"/>
        <v>1.4968642600000002E-2</v>
      </c>
      <c r="H296" s="18">
        <f t="shared" si="19"/>
        <v>6.0558851800000008E-2</v>
      </c>
      <c r="K296">
        <v>2.0840000000000001E-2</v>
      </c>
      <c r="L296">
        <v>9.81</v>
      </c>
    </row>
    <row r="297" spans="1:12" x14ac:dyDescent="0.3">
      <c r="A297" s="11">
        <v>4.9169999999999998</v>
      </c>
      <c r="B297" s="12">
        <v>0.23799999999999999</v>
      </c>
      <c r="C297" s="13">
        <v>0.69099999999999995</v>
      </c>
      <c r="D297" s="15">
        <v>0.53700000000000003</v>
      </c>
      <c r="E297" s="17">
        <f t="shared" si="16"/>
        <v>0.87512856198389499</v>
      </c>
      <c r="F297" s="14">
        <f t="shared" si="17"/>
        <v>4.8656815200000002E-2</v>
      </c>
      <c r="G297" s="16">
        <f t="shared" si="18"/>
        <v>7.9801569999999999E-3</v>
      </c>
      <c r="H297" s="18">
        <f t="shared" si="19"/>
        <v>5.6636972200000003E-2</v>
      </c>
      <c r="K297">
        <v>2.0840000000000001E-2</v>
      </c>
      <c r="L297">
        <v>9.81</v>
      </c>
    </row>
    <row r="298" spans="1:12" x14ac:dyDescent="0.3">
      <c r="A298" s="11">
        <v>4.9329999999999998</v>
      </c>
      <c r="B298" s="12">
        <v>0.24</v>
      </c>
      <c r="C298" s="13">
        <v>0.46</v>
      </c>
      <c r="D298" s="15">
        <v>0.307</v>
      </c>
      <c r="E298" s="17">
        <f t="shared" si="16"/>
        <v>0.55303616518271215</v>
      </c>
      <c r="F298" s="14">
        <f t="shared" si="17"/>
        <v>4.9065696000000006E-2</v>
      </c>
      <c r="G298" s="16">
        <f t="shared" si="18"/>
        <v>3.1869465800000011E-3</v>
      </c>
      <c r="H298" s="18">
        <f t="shared" si="19"/>
        <v>5.2252642580000008E-2</v>
      </c>
      <c r="K298">
        <v>2.0840000000000001E-2</v>
      </c>
      <c r="L298">
        <v>9.81</v>
      </c>
    </row>
    <row r="299" spans="1:12" x14ac:dyDescent="0.3">
      <c r="A299" s="11">
        <v>4.95</v>
      </c>
      <c r="B299" s="12">
        <v>0.248</v>
      </c>
      <c r="C299" s="13">
        <v>0.53700000000000003</v>
      </c>
      <c r="D299" s="15">
        <v>0.38400000000000001</v>
      </c>
      <c r="E299" s="17">
        <f t="shared" si="16"/>
        <v>0.66017043253996166</v>
      </c>
      <c r="F299" s="14">
        <f t="shared" si="17"/>
        <v>5.0701219200000008E-2</v>
      </c>
      <c r="G299" s="16">
        <f t="shared" si="18"/>
        <v>4.5412965000000008E-3</v>
      </c>
      <c r="H299" s="18">
        <f t="shared" si="19"/>
        <v>5.5242515700000008E-2</v>
      </c>
      <c r="K299">
        <v>2.0840000000000001E-2</v>
      </c>
      <c r="L299">
        <v>9.81</v>
      </c>
    </row>
    <row r="300" spans="1:12" x14ac:dyDescent="0.3">
      <c r="A300" s="11">
        <v>4.9669999999999996</v>
      </c>
      <c r="B300" s="12">
        <v>0.253</v>
      </c>
      <c r="C300" s="13">
        <v>0.38400000000000001</v>
      </c>
      <c r="D300" s="15">
        <v>0.307</v>
      </c>
      <c r="E300" s="17">
        <f t="shared" si="16"/>
        <v>0.49163502723056662</v>
      </c>
      <c r="F300" s="14">
        <f t="shared" si="17"/>
        <v>5.1723421200000008E-2</v>
      </c>
      <c r="G300" s="16">
        <f t="shared" si="18"/>
        <v>2.5185660999999999E-3</v>
      </c>
      <c r="H300" s="18">
        <f t="shared" si="19"/>
        <v>5.4241987300000009E-2</v>
      </c>
      <c r="K300">
        <v>2.0840000000000001E-2</v>
      </c>
      <c r="L300">
        <v>9.81</v>
      </c>
    </row>
    <row r="301" spans="1:12" x14ac:dyDescent="0.3">
      <c r="A301" s="11">
        <v>4.9829999999999997</v>
      </c>
      <c r="B301" s="12">
        <v>0.25800000000000001</v>
      </c>
      <c r="C301" s="13">
        <v>0.23</v>
      </c>
      <c r="D301" s="15">
        <v>0.153</v>
      </c>
      <c r="E301" s="17">
        <f t="shared" si="16"/>
        <v>0.27624083695210599</v>
      </c>
      <c r="F301" s="14">
        <f t="shared" si="17"/>
        <v>5.2745623200000008E-2</v>
      </c>
      <c r="G301" s="16">
        <f t="shared" si="18"/>
        <v>7.9513978000000018E-4</v>
      </c>
      <c r="H301" s="18">
        <f t="shared" si="19"/>
        <v>5.354076298000001E-2</v>
      </c>
      <c r="K301">
        <v>2.0840000000000001E-2</v>
      </c>
      <c r="L301">
        <v>9.81</v>
      </c>
    </row>
    <row r="302" spans="1:12" x14ac:dyDescent="0.3">
      <c r="A302" s="11">
        <v>5</v>
      </c>
      <c r="B302" s="12">
        <v>0.25800000000000001</v>
      </c>
      <c r="C302" s="13">
        <v>0.153</v>
      </c>
      <c r="D302" s="15">
        <v>0</v>
      </c>
      <c r="E302" s="17">
        <f t="shared" si="16"/>
        <v>0.153</v>
      </c>
      <c r="F302" s="14">
        <f t="shared" si="17"/>
        <v>5.2745623200000008E-2</v>
      </c>
      <c r="G302" s="16">
        <f t="shared" si="18"/>
        <v>2.4392178E-4</v>
      </c>
      <c r="H302" s="18">
        <f t="shared" si="19"/>
        <v>5.2989544980000011E-2</v>
      </c>
      <c r="K302">
        <v>2.0840000000000001E-2</v>
      </c>
      <c r="L302">
        <v>9.81</v>
      </c>
    </row>
    <row r="303" spans="1:12" x14ac:dyDescent="0.3">
      <c r="A303" s="11">
        <v>5.0170000000000003</v>
      </c>
      <c r="B303" s="12">
        <v>0.25800000000000001</v>
      </c>
      <c r="C303" s="13">
        <v>0</v>
      </c>
      <c r="D303" s="15">
        <v>0</v>
      </c>
      <c r="E303" s="17">
        <f t="shared" si="16"/>
        <v>0</v>
      </c>
      <c r="F303" s="14">
        <f t="shared" si="17"/>
        <v>5.2745623200000008E-2</v>
      </c>
      <c r="G303" s="16">
        <f t="shared" si="18"/>
        <v>0</v>
      </c>
      <c r="H303" s="18">
        <f t="shared" si="19"/>
        <v>5.2745623200000008E-2</v>
      </c>
      <c r="K303">
        <v>2.0840000000000001E-2</v>
      </c>
      <c r="L303">
        <v>9.81</v>
      </c>
    </row>
    <row r="304" spans="1:12" x14ac:dyDescent="0.3">
      <c r="A304" s="11">
        <v>5.0330000000000004</v>
      </c>
      <c r="B304" s="12">
        <v>0.25800000000000001</v>
      </c>
      <c r="C304" s="13">
        <v>0</v>
      </c>
      <c r="D304" s="15">
        <v>0</v>
      </c>
      <c r="E304" s="17">
        <f t="shared" si="16"/>
        <v>0</v>
      </c>
      <c r="F304" s="14">
        <f t="shared" si="17"/>
        <v>5.2745623200000008E-2</v>
      </c>
      <c r="G304" s="16">
        <f t="shared" si="18"/>
        <v>0</v>
      </c>
      <c r="H304" s="18">
        <f t="shared" si="19"/>
        <v>5.2745623200000008E-2</v>
      </c>
      <c r="K304">
        <v>2.0840000000000001E-2</v>
      </c>
      <c r="L304">
        <v>9.81</v>
      </c>
    </row>
    <row r="305" spans="1:12" x14ac:dyDescent="0.3">
      <c r="A305" s="11">
        <v>5.05</v>
      </c>
      <c r="B305" s="12">
        <v>0.25800000000000001</v>
      </c>
      <c r="C305" s="13">
        <v>-0.153</v>
      </c>
      <c r="D305" s="15">
        <v>7.6730000000000007E-2</v>
      </c>
      <c r="E305" s="17">
        <f t="shared" si="16"/>
        <v>0.17116218303118244</v>
      </c>
      <c r="F305" s="14">
        <f t="shared" si="17"/>
        <v>5.2745623200000008E-2</v>
      </c>
      <c r="G305" s="16">
        <f t="shared" si="18"/>
        <v>3.0526945601799999E-4</v>
      </c>
      <c r="H305" s="18">
        <f t="shared" si="19"/>
        <v>5.3050892656018006E-2</v>
      </c>
      <c r="K305">
        <v>2.0840000000000001E-2</v>
      </c>
      <c r="L305">
        <v>9.81</v>
      </c>
    </row>
    <row r="306" spans="1:12" x14ac:dyDescent="0.3">
      <c r="A306" s="11">
        <v>5.0670000000000002</v>
      </c>
      <c r="B306" s="12">
        <v>0.26100000000000001</v>
      </c>
      <c r="C306" s="13">
        <v>-0.307</v>
      </c>
      <c r="D306" s="15">
        <v>-7.6730000000000007E-2</v>
      </c>
      <c r="E306" s="17">
        <f t="shared" si="16"/>
        <v>0.31644350664850118</v>
      </c>
      <c r="F306" s="14">
        <f t="shared" si="17"/>
        <v>5.3358944400000011E-2</v>
      </c>
      <c r="G306" s="16">
        <f t="shared" si="18"/>
        <v>1.0434222560180002E-3</v>
      </c>
      <c r="H306" s="18">
        <f t="shared" si="19"/>
        <v>5.4402366656018011E-2</v>
      </c>
      <c r="K306">
        <v>2.0840000000000001E-2</v>
      </c>
      <c r="L306">
        <v>9.81</v>
      </c>
    </row>
    <row r="307" spans="1:12" x14ac:dyDescent="0.3">
      <c r="A307" s="11">
        <v>5.0830000000000002</v>
      </c>
      <c r="B307" s="12">
        <v>0.25600000000000001</v>
      </c>
      <c r="C307" s="13">
        <v>-0.38400000000000001</v>
      </c>
      <c r="D307" s="15">
        <v>-0.307</v>
      </c>
      <c r="E307" s="17">
        <f t="shared" si="16"/>
        <v>0.49163502723056662</v>
      </c>
      <c r="F307" s="14">
        <f t="shared" si="17"/>
        <v>5.2336742400000004E-2</v>
      </c>
      <c r="G307" s="16">
        <f t="shared" si="18"/>
        <v>2.5185660999999999E-3</v>
      </c>
      <c r="H307" s="18">
        <f t="shared" si="19"/>
        <v>5.4855308500000005E-2</v>
      </c>
      <c r="K307">
        <v>2.0840000000000001E-2</v>
      </c>
      <c r="L307">
        <v>9.81</v>
      </c>
    </row>
    <row r="308" spans="1:12" x14ac:dyDescent="0.3">
      <c r="A308" s="11">
        <v>5.0999999999999996</v>
      </c>
      <c r="B308" s="12">
        <v>0.251</v>
      </c>
      <c r="C308" s="13">
        <v>-0.61399999999999999</v>
      </c>
      <c r="D308" s="15">
        <v>-0.53700000000000003</v>
      </c>
      <c r="E308" s="17">
        <f t="shared" si="16"/>
        <v>0.81569908667351099</v>
      </c>
      <c r="F308" s="14">
        <f t="shared" si="17"/>
        <v>5.1314540400000004E-2</v>
      </c>
      <c r="G308" s="16">
        <f t="shared" si="18"/>
        <v>6.9331033E-3</v>
      </c>
      <c r="H308" s="18">
        <f t="shared" si="19"/>
        <v>5.8247643700000004E-2</v>
      </c>
      <c r="K308">
        <v>2.0840000000000001E-2</v>
      </c>
      <c r="L308">
        <v>9.81</v>
      </c>
    </row>
    <row r="309" spans="1:12" x14ac:dyDescent="0.3">
      <c r="A309" s="11">
        <v>5.117</v>
      </c>
      <c r="B309" s="12">
        <v>0.23799999999999999</v>
      </c>
      <c r="C309" s="13">
        <v>-0.53700000000000003</v>
      </c>
      <c r="D309" s="15">
        <v>-0.53700000000000003</v>
      </c>
      <c r="E309" s="17">
        <f t="shared" si="16"/>
        <v>0.75943268299435207</v>
      </c>
      <c r="F309" s="14">
        <f t="shared" si="17"/>
        <v>4.8656815200000002E-2</v>
      </c>
      <c r="G309" s="16">
        <f t="shared" si="18"/>
        <v>6.0096099600000013E-3</v>
      </c>
      <c r="H309" s="18">
        <f t="shared" si="19"/>
        <v>5.4666425160000004E-2</v>
      </c>
      <c r="K309">
        <v>2.0840000000000001E-2</v>
      </c>
      <c r="L309">
        <v>9.81</v>
      </c>
    </row>
    <row r="310" spans="1:12" x14ac:dyDescent="0.3">
      <c r="A310" s="11">
        <v>5.133</v>
      </c>
      <c r="B310" s="12">
        <v>0.23300000000000001</v>
      </c>
      <c r="C310" s="13">
        <v>-0.69099999999999995</v>
      </c>
      <c r="D310" s="15">
        <v>-0.46</v>
      </c>
      <c r="E310" s="17">
        <f t="shared" si="16"/>
        <v>0.83010902898354255</v>
      </c>
      <c r="F310" s="14">
        <f t="shared" si="17"/>
        <v>4.7634613200000009E-2</v>
      </c>
      <c r="G310" s="16">
        <f t="shared" si="18"/>
        <v>7.1802240199999997E-3</v>
      </c>
      <c r="H310" s="18">
        <f t="shared" si="19"/>
        <v>5.4814837220000009E-2</v>
      </c>
      <c r="K310">
        <v>2.0840000000000001E-2</v>
      </c>
      <c r="L310">
        <v>9.81</v>
      </c>
    </row>
    <row r="311" spans="1:12" x14ac:dyDescent="0.3">
      <c r="A311" s="11">
        <v>5.15</v>
      </c>
      <c r="B311" s="12">
        <v>0.223</v>
      </c>
      <c r="C311" s="13">
        <v>-0.76700000000000002</v>
      </c>
      <c r="D311" s="15">
        <v>-0.46</v>
      </c>
      <c r="E311" s="17">
        <f t="shared" si="16"/>
        <v>0.89436513796100081</v>
      </c>
      <c r="F311" s="14">
        <f t="shared" si="17"/>
        <v>4.5590209200000002E-2</v>
      </c>
      <c r="G311" s="16">
        <f t="shared" si="18"/>
        <v>8.33484338E-3</v>
      </c>
      <c r="H311" s="18">
        <f t="shared" si="19"/>
        <v>5.3925052580000001E-2</v>
      </c>
      <c r="K311">
        <v>2.0840000000000001E-2</v>
      </c>
      <c r="L311">
        <v>9.81</v>
      </c>
    </row>
    <row r="312" spans="1:12" x14ac:dyDescent="0.3">
      <c r="A312" s="11">
        <v>5.1669999999999998</v>
      </c>
      <c r="B312" s="12">
        <v>0.217</v>
      </c>
      <c r="C312" s="13">
        <v>-0.84399999999999997</v>
      </c>
      <c r="D312" s="15">
        <v>-0.53700000000000003</v>
      </c>
      <c r="E312" s="17">
        <f t="shared" si="16"/>
        <v>1.0003524378937656</v>
      </c>
      <c r="F312" s="14">
        <f t="shared" si="17"/>
        <v>4.4363566800000004E-2</v>
      </c>
      <c r="G312" s="16">
        <f t="shared" si="18"/>
        <v>1.0427346100000002E-2</v>
      </c>
      <c r="H312" s="18">
        <f t="shared" si="19"/>
        <v>5.4790912900000002E-2</v>
      </c>
      <c r="K312">
        <v>2.0840000000000001E-2</v>
      </c>
      <c r="L312">
        <v>9.81</v>
      </c>
    </row>
    <row r="313" spans="1:12" x14ac:dyDescent="0.3">
      <c r="A313" s="11">
        <v>5.1829999999999998</v>
      </c>
      <c r="B313" s="12">
        <v>0.20499999999999999</v>
      </c>
      <c r="C313" s="13">
        <v>-1.304</v>
      </c>
      <c r="D313" s="15">
        <v>-0.69099999999999995</v>
      </c>
      <c r="E313" s="17">
        <f t="shared" si="16"/>
        <v>1.4757699685249053</v>
      </c>
      <c r="F313" s="14">
        <f t="shared" si="17"/>
        <v>4.1910282E-2</v>
      </c>
      <c r="G313" s="16">
        <f t="shared" si="18"/>
        <v>2.269368674E-2</v>
      </c>
      <c r="H313" s="18">
        <f t="shared" si="19"/>
        <v>6.4603968740000003E-2</v>
      </c>
      <c r="K313">
        <v>2.0840000000000001E-2</v>
      </c>
      <c r="L313">
        <v>9.81</v>
      </c>
    </row>
    <row r="314" spans="1:12" x14ac:dyDescent="0.3">
      <c r="A314" s="11">
        <v>5.2</v>
      </c>
      <c r="B314" s="12">
        <v>0.19400000000000001</v>
      </c>
      <c r="C314" s="13">
        <v>-1.151</v>
      </c>
      <c r="D314" s="15">
        <v>-0.69099999999999995</v>
      </c>
      <c r="E314" s="17">
        <f t="shared" si="16"/>
        <v>1.3424909683122639</v>
      </c>
      <c r="F314" s="14">
        <f t="shared" si="17"/>
        <v>3.9661437600000009E-2</v>
      </c>
      <c r="G314" s="16">
        <f t="shared" si="18"/>
        <v>1.8779778439999999E-2</v>
      </c>
      <c r="H314" s="18">
        <f t="shared" si="19"/>
        <v>5.8441216040000007E-2</v>
      </c>
      <c r="K314">
        <v>2.0840000000000001E-2</v>
      </c>
      <c r="L314">
        <v>9.81</v>
      </c>
    </row>
    <row r="315" spans="1:12" x14ac:dyDescent="0.3">
      <c r="A315" s="11">
        <v>5.2169999999999996</v>
      </c>
      <c r="B315" s="12">
        <v>0.182</v>
      </c>
      <c r="C315" s="13">
        <v>-0.997</v>
      </c>
      <c r="D315" s="15">
        <v>-0.84399999999999997</v>
      </c>
      <c r="E315" s="17">
        <f t="shared" si="16"/>
        <v>1.3062714113077727</v>
      </c>
      <c r="F315" s="14">
        <f t="shared" si="17"/>
        <v>3.7208152800000005E-2</v>
      </c>
      <c r="G315" s="16">
        <f t="shared" si="18"/>
        <v>1.7780114900000005E-2</v>
      </c>
      <c r="H315" s="18">
        <f t="shared" si="19"/>
        <v>5.498826770000001E-2</v>
      </c>
      <c r="K315">
        <v>2.0840000000000001E-2</v>
      </c>
      <c r="L315">
        <v>9.81</v>
      </c>
    </row>
    <row r="316" spans="1:12" x14ac:dyDescent="0.3">
      <c r="A316" s="11">
        <v>5.2329999999999997</v>
      </c>
      <c r="B316" s="12">
        <v>0.16600000000000001</v>
      </c>
      <c r="C316" s="13">
        <v>-1.151</v>
      </c>
      <c r="D316" s="15">
        <v>-0.76700000000000002</v>
      </c>
      <c r="E316" s="17">
        <f t="shared" si="16"/>
        <v>1.3831449670949174</v>
      </c>
      <c r="F316" s="14">
        <f t="shared" si="17"/>
        <v>3.3937106400000007E-2</v>
      </c>
      <c r="G316" s="16">
        <f t="shared" si="18"/>
        <v>1.9934397800000003E-2</v>
      </c>
      <c r="H316" s="18">
        <f t="shared" si="19"/>
        <v>5.387150420000001E-2</v>
      </c>
      <c r="K316">
        <v>2.0840000000000001E-2</v>
      </c>
      <c r="L316">
        <v>9.81</v>
      </c>
    </row>
    <row r="317" spans="1:12" x14ac:dyDescent="0.3">
      <c r="A317" s="11">
        <v>5.25</v>
      </c>
      <c r="B317" s="12">
        <v>0.156</v>
      </c>
      <c r="C317" s="13">
        <v>-1.458</v>
      </c>
      <c r="D317" s="15">
        <v>-0.76700000000000002</v>
      </c>
      <c r="E317" s="17">
        <f t="shared" si="16"/>
        <v>1.6474383144749305</v>
      </c>
      <c r="F317" s="14">
        <f t="shared" si="17"/>
        <v>3.18927024E-2</v>
      </c>
      <c r="G317" s="16">
        <f t="shared" si="18"/>
        <v>2.8280432259999998E-2</v>
      </c>
      <c r="H317" s="18">
        <f t="shared" si="19"/>
        <v>6.0173134660000002E-2</v>
      </c>
      <c r="K317">
        <v>2.0840000000000001E-2</v>
      </c>
      <c r="L317">
        <v>9.81</v>
      </c>
    </row>
    <row r="318" spans="1:12" x14ac:dyDescent="0.3">
      <c r="A318" s="11">
        <v>5.2670000000000003</v>
      </c>
      <c r="B318" s="12">
        <v>0.14099999999999999</v>
      </c>
      <c r="C318" s="13">
        <v>-1.9179999999999999</v>
      </c>
      <c r="D318" s="15">
        <v>-0.84399999999999997</v>
      </c>
      <c r="E318" s="17">
        <f t="shared" si="16"/>
        <v>2.0954856239067832</v>
      </c>
      <c r="F318" s="14">
        <f t="shared" si="17"/>
        <v>2.8826096400000001E-2</v>
      </c>
      <c r="G318" s="16">
        <f t="shared" si="18"/>
        <v>4.5754845200000005E-2</v>
      </c>
      <c r="H318" s="18">
        <f t="shared" si="19"/>
        <v>7.4580941600000006E-2</v>
      </c>
      <c r="K318">
        <v>2.0840000000000001E-2</v>
      </c>
      <c r="L318">
        <v>9.81</v>
      </c>
    </row>
    <row r="319" spans="1:12" x14ac:dyDescent="0.3">
      <c r="A319" s="11">
        <v>5.2830000000000004</v>
      </c>
      <c r="B319" s="12">
        <v>0.128</v>
      </c>
      <c r="C319" s="13">
        <v>-1.827</v>
      </c>
      <c r="D319" s="15">
        <v>-0.438</v>
      </c>
      <c r="E319" s="17">
        <f t="shared" si="16"/>
        <v>1.8787690118798532</v>
      </c>
      <c r="F319" s="14">
        <f t="shared" si="17"/>
        <v>2.6168371200000002E-2</v>
      </c>
      <c r="G319" s="16">
        <f t="shared" si="18"/>
        <v>3.6780234660000001E-2</v>
      </c>
      <c r="H319" s="18">
        <f t="shared" si="19"/>
        <v>6.2948605860000006E-2</v>
      </c>
      <c r="K319">
        <v>2.0840000000000001E-2</v>
      </c>
      <c r="L319">
        <v>9.81</v>
      </c>
    </row>
    <row r="320" spans="1:12" x14ac:dyDescent="0.3">
      <c r="A320" s="11">
        <v>5.3019999999999996</v>
      </c>
      <c r="B320" s="12">
        <v>0.125</v>
      </c>
      <c r="C320" s="13">
        <v>-1.611</v>
      </c>
      <c r="D320" s="15">
        <v>-0.69099999999999995</v>
      </c>
      <c r="E320" s="17">
        <f t="shared" si="16"/>
        <v>1.7529409573627972</v>
      </c>
      <c r="F320" s="14">
        <f t="shared" si="17"/>
        <v>2.5555050000000003E-2</v>
      </c>
      <c r="G320" s="16">
        <f t="shared" si="18"/>
        <v>3.2018596839999997E-2</v>
      </c>
      <c r="H320" s="18">
        <f t="shared" si="19"/>
        <v>5.7573646839999999E-2</v>
      </c>
      <c r="K320">
        <v>2.0840000000000001E-2</v>
      </c>
      <c r="L320">
        <v>9.81</v>
      </c>
    </row>
    <row r="321" spans="1:12" x14ac:dyDescent="0.3">
      <c r="A321" s="11">
        <v>5.3170000000000002</v>
      </c>
      <c r="B321" s="12">
        <v>0.105</v>
      </c>
      <c r="C321" s="13">
        <v>-1.9179999999999999</v>
      </c>
      <c r="D321" s="15">
        <v>-0.92100000000000004</v>
      </c>
      <c r="E321" s="17">
        <f t="shared" si="16"/>
        <v>2.1276665622225677</v>
      </c>
      <c r="F321" s="14">
        <f t="shared" si="17"/>
        <v>2.1466242E-2</v>
      </c>
      <c r="G321" s="16">
        <f t="shared" si="18"/>
        <v>4.7170975300000001E-2</v>
      </c>
      <c r="H321" s="18">
        <f t="shared" si="19"/>
        <v>6.8637217299999997E-2</v>
      </c>
      <c r="K321">
        <v>2.0840000000000001E-2</v>
      </c>
      <c r="L321">
        <v>9.81</v>
      </c>
    </row>
    <row r="322" spans="1:12" x14ac:dyDescent="0.3">
      <c r="A322" s="11">
        <v>5.335</v>
      </c>
      <c r="B322" s="12">
        <v>9.4630000000000006E-2</v>
      </c>
      <c r="C322" s="13">
        <v>-1.827</v>
      </c>
      <c r="D322" s="15">
        <v>-0.65800000000000003</v>
      </c>
      <c r="E322" s="17">
        <f t="shared" si="16"/>
        <v>1.941878729478234</v>
      </c>
      <c r="F322" s="14">
        <f t="shared" si="17"/>
        <v>1.9346195052000002E-2</v>
      </c>
      <c r="G322" s="16">
        <f t="shared" si="18"/>
        <v>3.9292705060000009E-2</v>
      </c>
      <c r="H322" s="18">
        <f t="shared" si="19"/>
        <v>5.8638900112000014E-2</v>
      </c>
      <c r="K322">
        <v>2.0840000000000001E-2</v>
      </c>
      <c r="L322">
        <v>9.81</v>
      </c>
    </row>
    <row r="323" spans="1:12" x14ac:dyDescent="0.3">
      <c r="A323" s="11">
        <v>5.3520000000000003</v>
      </c>
      <c r="B323" s="12">
        <v>8.1839999999999996E-2</v>
      </c>
      <c r="C323" s="13">
        <v>-1.9179999999999999</v>
      </c>
      <c r="D323" s="15">
        <v>-0.61399999999999999</v>
      </c>
      <c r="E323" s="17">
        <f t="shared" ref="E323:E360" si="20">SQRT((C323)^(2)+(D323)^(2))</f>
        <v>2.0138818237423961</v>
      </c>
      <c r="F323" s="14">
        <f t="shared" ref="F323:F360" si="21">(K323*L323*B323)</f>
        <v>1.6731402336000002E-2</v>
      </c>
      <c r="G323" s="16">
        <f t="shared" ref="G323:G360" si="22">(K323*(E323)^(2))/(2)</f>
        <v>4.2260602399999993E-2</v>
      </c>
      <c r="H323" s="18">
        <f t="shared" si="19"/>
        <v>5.8992004735999998E-2</v>
      </c>
      <c r="K323">
        <v>2.0840000000000001E-2</v>
      </c>
      <c r="L323">
        <v>9.81</v>
      </c>
    </row>
    <row r="324" spans="1:12" x14ac:dyDescent="0.3">
      <c r="A324" s="11">
        <v>5.3680000000000003</v>
      </c>
      <c r="B324" s="12">
        <v>7.417E-2</v>
      </c>
      <c r="C324" s="13">
        <v>-2.1480000000000001</v>
      </c>
      <c r="D324" s="15">
        <v>-0.997</v>
      </c>
      <c r="E324" s="17">
        <f t="shared" si="20"/>
        <v>2.3681032494382506</v>
      </c>
      <c r="F324" s="14">
        <f t="shared" si="21"/>
        <v>1.5163344468000002E-2</v>
      </c>
      <c r="G324" s="16">
        <f t="shared" si="22"/>
        <v>5.8434453460000008E-2</v>
      </c>
      <c r="H324" s="18">
        <f t="shared" ref="H324:H360" si="23">(F324+G324)</f>
        <v>7.3597797928000003E-2</v>
      </c>
      <c r="K324">
        <v>2.0840000000000001E-2</v>
      </c>
      <c r="L324">
        <v>9.81</v>
      </c>
    </row>
    <row r="325" spans="1:12" x14ac:dyDescent="0.3">
      <c r="A325" s="11">
        <v>5.3849999999999998</v>
      </c>
      <c r="B325" s="12">
        <v>4.8590000000000001E-2</v>
      </c>
      <c r="C325" s="13">
        <v>-2.0720000000000001</v>
      </c>
      <c r="D325" s="15">
        <v>-1.0740000000000001</v>
      </c>
      <c r="E325" s="17">
        <f t="shared" si="20"/>
        <v>2.3338080469481635</v>
      </c>
      <c r="F325" s="14">
        <f t="shared" si="21"/>
        <v>9.9337590360000019E-3</v>
      </c>
      <c r="G325" s="16">
        <f t="shared" si="22"/>
        <v>5.6754197200000016E-2</v>
      </c>
      <c r="H325" s="18">
        <f t="shared" si="23"/>
        <v>6.6687956236000018E-2</v>
      </c>
      <c r="K325">
        <v>2.0840000000000001E-2</v>
      </c>
      <c r="L325">
        <v>9.81</v>
      </c>
    </row>
    <row r="326" spans="1:12" x14ac:dyDescent="0.3">
      <c r="A326" s="11">
        <v>5.4020000000000001</v>
      </c>
      <c r="B326" s="12">
        <v>3.8359999999999998E-2</v>
      </c>
      <c r="C326" s="13">
        <v>-2.1480000000000001</v>
      </c>
      <c r="D326" s="15">
        <v>-0.84399999999999997</v>
      </c>
      <c r="E326" s="17">
        <f t="shared" si="20"/>
        <v>2.3078648140651565</v>
      </c>
      <c r="F326" s="14">
        <f t="shared" si="21"/>
        <v>7.8423337440000004E-3</v>
      </c>
      <c r="G326" s="16">
        <f t="shared" si="22"/>
        <v>5.5499420799999998E-2</v>
      </c>
      <c r="H326" s="18">
        <f t="shared" si="23"/>
        <v>6.3341754543999998E-2</v>
      </c>
      <c r="K326">
        <v>2.0840000000000001E-2</v>
      </c>
      <c r="L326">
        <v>9.81</v>
      </c>
    </row>
    <row r="327" spans="1:12" x14ac:dyDescent="0.3">
      <c r="A327" s="11">
        <v>5.4180000000000001</v>
      </c>
      <c r="B327" s="12">
        <v>2.0459999999999999E-2</v>
      </c>
      <c r="C327" s="13">
        <v>-2.2250000000000001</v>
      </c>
      <c r="D327" s="15">
        <v>-0.92100000000000004</v>
      </c>
      <c r="E327" s="17">
        <f t="shared" si="20"/>
        <v>2.4080834703141001</v>
      </c>
      <c r="F327" s="14">
        <f t="shared" si="21"/>
        <v>4.1828505840000004E-3</v>
      </c>
      <c r="G327" s="16">
        <f t="shared" si="22"/>
        <v>6.0424183719999996E-2</v>
      </c>
      <c r="H327" s="18">
        <f t="shared" si="23"/>
        <v>6.4607034303999999E-2</v>
      </c>
      <c r="K327">
        <v>2.0840000000000001E-2</v>
      </c>
      <c r="L327">
        <v>9.81</v>
      </c>
    </row>
    <row r="328" spans="1:12" x14ac:dyDescent="0.3">
      <c r="A328" s="11">
        <v>5.4349999999999996</v>
      </c>
      <c r="B328" s="12">
        <v>7.6730000000000001E-3</v>
      </c>
      <c r="C328" s="13">
        <v>-2.4550000000000001</v>
      </c>
      <c r="D328" s="15">
        <v>-0.53700000000000003</v>
      </c>
      <c r="E328" s="17">
        <f t="shared" si="20"/>
        <v>2.5130447668117655</v>
      </c>
      <c r="F328" s="14">
        <f t="shared" si="21"/>
        <v>1.5686711892000003E-3</v>
      </c>
      <c r="G328" s="16">
        <f t="shared" si="22"/>
        <v>6.580640548000001E-2</v>
      </c>
      <c r="H328" s="18">
        <f t="shared" si="23"/>
        <v>6.7375076669200007E-2</v>
      </c>
      <c r="K328">
        <v>2.0840000000000001E-2</v>
      </c>
      <c r="L328">
        <v>9.81</v>
      </c>
    </row>
    <row r="329" spans="1:12" x14ac:dyDescent="0.3">
      <c r="A329" s="11">
        <v>5.452</v>
      </c>
      <c r="B329" s="12">
        <v>2.5579999999999999E-3</v>
      </c>
      <c r="C329" s="13">
        <v>-2.6850000000000001</v>
      </c>
      <c r="D329" s="15">
        <v>-0.153</v>
      </c>
      <c r="E329" s="17">
        <f t="shared" si="20"/>
        <v>2.6893556849178579</v>
      </c>
      <c r="F329" s="14">
        <f t="shared" si="21"/>
        <v>5.2295854320000008E-4</v>
      </c>
      <c r="G329" s="16">
        <f t="shared" si="22"/>
        <v>7.5364046280000013E-2</v>
      </c>
      <c r="H329" s="18">
        <f t="shared" si="23"/>
        <v>7.5887004823200016E-2</v>
      </c>
      <c r="K329">
        <v>2.0840000000000001E-2</v>
      </c>
      <c r="L329">
        <v>9.81</v>
      </c>
    </row>
    <row r="330" spans="1:12" x14ac:dyDescent="0.3">
      <c r="A330" s="11">
        <v>5.468</v>
      </c>
      <c r="B330" s="12">
        <v>2.5579999999999999E-3</v>
      </c>
      <c r="C330" s="13">
        <v>-2.4550000000000001</v>
      </c>
      <c r="D330" s="15">
        <v>-7.6730000000000007E-2</v>
      </c>
      <c r="E330" s="17">
        <f t="shared" si="20"/>
        <v>2.4561987893694597</v>
      </c>
      <c r="F330" s="14">
        <f t="shared" si="21"/>
        <v>5.2295854320000008E-4</v>
      </c>
      <c r="G330" s="16">
        <f t="shared" si="22"/>
        <v>6.2862948176017994E-2</v>
      </c>
      <c r="H330" s="18">
        <f t="shared" si="23"/>
        <v>6.3385906719217996E-2</v>
      </c>
      <c r="K330">
        <v>2.0840000000000001E-2</v>
      </c>
      <c r="L330">
        <v>9.81</v>
      </c>
    </row>
    <row r="331" spans="1:12" x14ac:dyDescent="0.3">
      <c r="A331" s="11">
        <v>5.4850000000000003</v>
      </c>
      <c r="B331" s="12">
        <v>0</v>
      </c>
      <c r="C331" s="13">
        <v>-2.379</v>
      </c>
      <c r="D331" s="15">
        <v>-0.307</v>
      </c>
      <c r="E331" s="17">
        <f t="shared" si="20"/>
        <v>2.3987267455881671</v>
      </c>
      <c r="F331" s="14">
        <f t="shared" si="21"/>
        <v>0</v>
      </c>
      <c r="G331" s="16">
        <f t="shared" si="22"/>
        <v>5.9955533799999995E-2</v>
      </c>
      <c r="H331" s="18">
        <f t="shared" si="23"/>
        <v>5.9955533799999995E-2</v>
      </c>
      <c r="K331">
        <v>2.0840000000000001E-2</v>
      </c>
      <c r="L331">
        <v>9.81</v>
      </c>
    </row>
    <row r="332" spans="1:12" x14ac:dyDescent="0.3">
      <c r="A332" s="11">
        <v>5.5019999999999998</v>
      </c>
      <c r="B332" s="12">
        <v>-7.6730000000000001E-3</v>
      </c>
      <c r="C332" s="13">
        <v>-2.762</v>
      </c>
      <c r="D332" s="15">
        <v>-0.38400000000000001</v>
      </c>
      <c r="E332" s="17">
        <f t="shared" si="20"/>
        <v>2.7885659396901485</v>
      </c>
      <c r="F332" s="14">
        <f t="shared" si="21"/>
        <v>-1.5686711892000003E-3</v>
      </c>
      <c r="G332" s="16">
        <f t="shared" si="22"/>
        <v>8.1026962000000022E-2</v>
      </c>
      <c r="H332" s="18">
        <f t="shared" si="23"/>
        <v>7.9458290810800025E-2</v>
      </c>
      <c r="K332">
        <v>2.0840000000000001E-2</v>
      </c>
      <c r="L332">
        <v>9.81</v>
      </c>
    </row>
    <row r="333" spans="1:12" x14ac:dyDescent="0.3">
      <c r="A333" s="11">
        <v>5.5179999999999998</v>
      </c>
      <c r="B333" s="12">
        <v>-1.2789999999999999E-2</v>
      </c>
      <c r="C333" s="13">
        <v>-2.4550000000000001</v>
      </c>
      <c r="D333" s="15">
        <v>-7.6730000000000007E-2</v>
      </c>
      <c r="E333" s="17">
        <f t="shared" si="20"/>
        <v>2.4561987893694597</v>
      </c>
      <c r="F333" s="14">
        <f t="shared" si="21"/>
        <v>-2.6147927160000001E-3</v>
      </c>
      <c r="G333" s="16">
        <f t="shared" si="22"/>
        <v>6.2862948176017994E-2</v>
      </c>
      <c r="H333" s="18">
        <f t="shared" si="23"/>
        <v>6.0248155460017994E-2</v>
      </c>
      <c r="K333">
        <v>2.0840000000000001E-2</v>
      </c>
      <c r="L333">
        <v>9.81</v>
      </c>
    </row>
    <row r="334" spans="1:12" x14ac:dyDescent="0.3">
      <c r="A334" s="11">
        <v>5.5350000000000001</v>
      </c>
      <c r="B334" s="12">
        <v>-1.023E-2</v>
      </c>
      <c r="C334" s="13">
        <v>-2.4550000000000001</v>
      </c>
      <c r="D334" s="15">
        <v>0.153</v>
      </c>
      <c r="E334" s="17">
        <f t="shared" si="20"/>
        <v>2.4597629967133012</v>
      </c>
      <c r="F334" s="14">
        <f t="shared" si="21"/>
        <v>-2.0914252920000002E-3</v>
      </c>
      <c r="G334" s="16">
        <f t="shared" si="22"/>
        <v>6.3045522280000002E-2</v>
      </c>
      <c r="H334" s="18">
        <f t="shared" si="23"/>
        <v>6.0954096988000001E-2</v>
      </c>
      <c r="K334">
        <v>2.0840000000000001E-2</v>
      </c>
      <c r="L334">
        <v>9.81</v>
      </c>
    </row>
    <row r="335" spans="1:12" x14ac:dyDescent="0.3">
      <c r="A335" s="11">
        <v>5.5519999999999996</v>
      </c>
      <c r="B335" s="12">
        <v>-7.6730000000000001E-3</v>
      </c>
      <c r="C335" s="13">
        <v>-2.6850000000000001</v>
      </c>
      <c r="D335" s="15">
        <v>0.23</v>
      </c>
      <c r="E335" s="17">
        <f t="shared" si="20"/>
        <v>2.694833018945701</v>
      </c>
      <c r="F335" s="14">
        <f t="shared" si="21"/>
        <v>-1.5686711892000003E-3</v>
      </c>
      <c r="G335" s="16">
        <f t="shared" si="22"/>
        <v>7.5671342500000016E-2</v>
      </c>
      <c r="H335" s="18">
        <f t="shared" si="23"/>
        <v>7.410267131080002E-2</v>
      </c>
      <c r="K335">
        <v>2.0840000000000001E-2</v>
      </c>
      <c r="L335">
        <v>9.81</v>
      </c>
    </row>
    <row r="336" spans="1:12" x14ac:dyDescent="0.3">
      <c r="A336" s="11">
        <v>5.5679999999999996</v>
      </c>
      <c r="B336" s="12">
        <v>-2.5579999999999999E-3</v>
      </c>
      <c r="C336" s="13">
        <v>-2.532</v>
      </c>
      <c r="D336" s="15">
        <v>0.307</v>
      </c>
      <c r="E336" s="17">
        <f t="shared" si="20"/>
        <v>2.5505436675344337</v>
      </c>
      <c r="F336" s="14">
        <f t="shared" si="21"/>
        <v>-5.2295854320000008E-4</v>
      </c>
      <c r="G336" s="16">
        <f t="shared" si="22"/>
        <v>6.7784944659999999E-2</v>
      </c>
      <c r="H336" s="18">
        <f t="shared" si="23"/>
        <v>6.7261986116799996E-2</v>
      </c>
      <c r="K336">
        <v>2.0840000000000001E-2</v>
      </c>
      <c r="L336">
        <v>9.81</v>
      </c>
    </row>
    <row r="337" spans="1:12" x14ac:dyDescent="0.3">
      <c r="A337" s="11">
        <v>5.585</v>
      </c>
      <c r="B337" s="12">
        <v>2.5579999999999999E-3</v>
      </c>
      <c r="C337" s="13">
        <v>-2.532</v>
      </c>
      <c r="D337" s="15">
        <v>0.307</v>
      </c>
      <c r="E337" s="17">
        <f t="shared" si="20"/>
        <v>2.5505436675344337</v>
      </c>
      <c r="F337" s="14">
        <f t="shared" si="21"/>
        <v>5.2295854320000008E-4</v>
      </c>
      <c r="G337" s="16">
        <f t="shared" si="22"/>
        <v>6.7784944659999999E-2</v>
      </c>
      <c r="H337" s="18">
        <f t="shared" si="23"/>
        <v>6.8307903203200002E-2</v>
      </c>
      <c r="K337">
        <v>2.0840000000000001E-2</v>
      </c>
      <c r="L337">
        <v>9.81</v>
      </c>
    </row>
    <row r="338" spans="1:12" x14ac:dyDescent="0.3">
      <c r="A338" s="11">
        <v>5.6020000000000003</v>
      </c>
      <c r="B338" s="12">
        <v>7.6730000000000001E-3</v>
      </c>
      <c r="C338" s="13">
        <v>-2.532</v>
      </c>
      <c r="D338" s="15">
        <v>0.38400000000000001</v>
      </c>
      <c r="E338" s="17">
        <f t="shared" si="20"/>
        <v>2.5609529476349229</v>
      </c>
      <c r="F338" s="14">
        <f t="shared" si="21"/>
        <v>1.5686711892000003E-3</v>
      </c>
      <c r="G338" s="16">
        <f t="shared" si="22"/>
        <v>6.8339361600000009E-2</v>
      </c>
      <c r="H338" s="18">
        <f t="shared" si="23"/>
        <v>6.9908032789200006E-2</v>
      </c>
      <c r="K338">
        <v>2.0840000000000001E-2</v>
      </c>
      <c r="L338">
        <v>9.81</v>
      </c>
    </row>
    <row r="339" spans="1:12" x14ac:dyDescent="0.3">
      <c r="A339" s="11">
        <v>5.6180000000000003</v>
      </c>
      <c r="B339" s="12">
        <v>1.5350000000000001E-2</v>
      </c>
      <c r="C339" s="13">
        <v>-2.379</v>
      </c>
      <c r="D339" s="15">
        <v>0.61399999999999999</v>
      </c>
      <c r="E339" s="17">
        <f t="shared" si="20"/>
        <v>2.4569568575780893</v>
      </c>
      <c r="F339" s="14">
        <f t="shared" si="21"/>
        <v>3.1381601400000004E-3</v>
      </c>
      <c r="G339" s="16">
        <f t="shared" si="22"/>
        <v>6.2901757540000006E-2</v>
      </c>
      <c r="H339" s="18">
        <f t="shared" si="23"/>
        <v>6.6039917680000004E-2</v>
      </c>
      <c r="K339">
        <v>2.0840000000000001E-2</v>
      </c>
      <c r="L339">
        <v>9.81</v>
      </c>
    </row>
    <row r="340" spans="1:12" x14ac:dyDescent="0.3">
      <c r="A340" s="11">
        <v>5.6349999999999998</v>
      </c>
      <c r="B340" s="12">
        <v>2.8129999999999999E-2</v>
      </c>
      <c r="C340" s="13">
        <v>-2.0720000000000001</v>
      </c>
      <c r="D340" s="15">
        <v>0.46</v>
      </c>
      <c r="E340" s="17">
        <f t="shared" si="20"/>
        <v>2.1224476436416517</v>
      </c>
      <c r="F340" s="14">
        <f t="shared" si="21"/>
        <v>5.7509084520000007E-3</v>
      </c>
      <c r="G340" s="16">
        <f t="shared" si="22"/>
        <v>4.6939849280000001E-2</v>
      </c>
      <c r="H340" s="18">
        <f t="shared" si="23"/>
        <v>5.2690757732E-2</v>
      </c>
      <c r="K340">
        <v>2.0840000000000001E-2</v>
      </c>
      <c r="L340">
        <v>9.81</v>
      </c>
    </row>
    <row r="341" spans="1:12" x14ac:dyDescent="0.3">
      <c r="A341" s="11">
        <v>5.6520000000000001</v>
      </c>
      <c r="B341" s="12">
        <v>3.0689999999999999E-2</v>
      </c>
      <c r="C341" s="13">
        <v>-2.1480000000000001</v>
      </c>
      <c r="D341" s="15">
        <v>0.53700000000000003</v>
      </c>
      <c r="E341" s="17">
        <f t="shared" si="20"/>
        <v>2.214107720956684</v>
      </c>
      <c r="F341" s="14">
        <f t="shared" si="21"/>
        <v>6.2742758760000001E-3</v>
      </c>
      <c r="G341" s="16">
        <f t="shared" si="22"/>
        <v>5.1081684660000015E-2</v>
      </c>
      <c r="H341" s="18">
        <f t="shared" si="23"/>
        <v>5.7355960536000013E-2</v>
      </c>
      <c r="K341">
        <v>2.0840000000000001E-2</v>
      </c>
      <c r="L341">
        <v>9.81</v>
      </c>
    </row>
    <row r="342" spans="1:12" x14ac:dyDescent="0.3">
      <c r="A342" s="11">
        <v>5.6680000000000001</v>
      </c>
      <c r="B342" s="12">
        <v>4.6039999999999998E-2</v>
      </c>
      <c r="C342" s="13">
        <v>-2.0720000000000001</v>
      </c>
      <c r="D342" s="15">
        <v>0.76700000000000002</v>
      </c>
      <c r="E342" s="17">
        <f t="shared" si="20"/>
        <v>2.2094055761674904</v>
      </c>
      <c r="F342" s="14">
        <f t="shared" si="21"/>
        <v>9.4124360160000014E-3</v>
      </c>
      <c r="G342" s="16">
        <f t="shared" si="22"/>
        <v>5.0864948660000006E-2</v>
      </c>
      <c r="H342" s="18">
        <f t="shared" si="23"/>
        <v>6.0277384676000009E-2</v>
      </c>
      <c r="K342">
        <v>2.0840000000000001E-2</v>
      </c>
      <c r="L342">
        <v>9.81</v>
      </c>
    </row>
    <row r="343" spans="1:12" x14ac:dyDescent="0.3">
      <c r="A343" s="11">
        <v>5.6849999999999996</v>
      </c>
      <c r="B343" s="12">
        <v>5.6270000000000001E-2</v>
      </c>
      <c r="C343" s="13">
        <v>-2.0720000000000001</v>
      </c>
      <c r="D343" s="15">
        <v>0.84399999999999997</v>
      </c>
      <c r="E343" s="17">
        <f t="shared" si="20"/>
        <v>2.2373019465418609</v>
      </c>
      <c r="F343" s="14">
        <f t="shared" si="21"/>
        <v>1.1503861308000001E-2</v>
      </c>
      <c r="G343" s="16">
        <f t="shared" si="22"/>
        <v>5.2157518399999998E-2</v>
      </c>
      <c r="H343" s="18">
        <f t="shared" si="23"/>
        <v>6.3661379707999996E-2</v>
      </c>
      <c r="K343">
        <v>2.0840000000000001E-2</v>
      </c>
      <c r="L343">
        <v>9.81</v>
      </c>
    </row>
    <row r="344" spans="1:12" x14ac:dyDescent="0.3">
      <c r="A344" s="11">
        <v>5.702</v>
      </c>
      <c r="B344" s="12">
        <v>7.417E-2</v>
      </c>
      <c r="C344" s="13">
        <v>-2.0720000000000001</v>
      </c>
      <c r="D344" s="15">
        <v>0.997</v>
      </c>
      <c r="E344" s="17">
        <f t="shared" si="20"/>
        <v>2.2993897016382414</v>
      </c>
      <c r="F344" s="14">
        <f t="shared" si="21"/>
        <v>1.5163344468000002E-2</v>
      </c>
      <c r="G344" s="16">
        <f t="shared" si="22"/>
        <v>5.5092551060000015E-2</v>
      </c>
      <c r="H344" s="18">
        <f t="shared" si="23"/>
        <v>7.0255895528000017E-2</v>
      </c>
      <c r="K344">
        <v>2.0840000000000001E-2</v>
      </c>
      <c r="L344">
        <v>9.81</v>
      </c>
    </row>
    <row r="345" spans="1:12" x14ac:dyDescent="0.3">
      <c r="A345" s="11">
        <v>5.718</v>
      </c>
      <c r="B345" s="12">
        <v>8.9510000000000006E-2</v>
      </c>
      <c r="C345" s="13">
        <v>-1.841</v>
      </c>
      <c r="D345" s="15">
        <v>0.84399999999999997</v>
      </c>
      <c r="E345" s="17">
        <f t="shared" si="20"/>
        <v>2.0252449234598764</v>
      </c>
      <c r="F345" s="14">
        <f t="shared" si="21"/>
        <v>1.8299460204000004E-2</v>
      </c>
      <c r="G345" s="16">
        <f t="shared" si="22"/>
        <v>4.2738849140000014E-2</v>
      </c>
      <c r="H345" s="18">
        <f t="shared" si="23"/>
        <v>6.1038309344000022E-2</v>
      </c>
      <c r="K345">
        <v>2.0840000000000001E-2</v>
      </c>
      <c r="L345">
        <v>9.81</v>
      </c>
    </row>
    <row r="346" spans="1:12" x14ac:dyDescent="0.3">
      <c r="A346" s="11">
        <v>5.7350000000000003</v>
      </c>
      <c r="B346" s="12">
        <v>0.10199999999999999</v>
      </c>
      <c r="C346" s="13">
        <v>-1.7649999999999999</v>
      </c>
      <c r="D346" s="15">
        <v>0.76700000000000002</v>
      </c>
      <c r="E346" s="17">
        <f t="shared" si="20"/>
        <v>1.9244516101996432</v>
      </c>
      <c r="F346" s="14">
        <f t="shared" si="21"/>
        <v>2.0852920800000001E-2</v>
      </c>
      <c r="G346" s="16">
        <f t="shared" si="22"/>
        <v>3.8590615879999991E-2</v>
      </c>
      <c r="H346" s="18">
        <f t="shared" si="23"/>
        <v>5.9443536679999992E-2</v>
      </c>
      <c r="K346">
        <v>2.0840000000000001E-2</v>
      </c>
      <c r="L346">
        <v>9.81</v>
      </c>
    </row>
    <row r="347" spans="1:12" x14ac:dyDescent="0.3">
      <c r="A347" s="11">
        <v>5.7519999999999998</v>
      </c>
      <c r="B347" s="12">
        <v>0.115</v>
      </c>
      <c r="C347" s="13">
        <v>-1.611</v>
      </c>
      <c r="D347" s="15">
        <v>0.69099999999999995</v>
      </c>
      <c r="E347" s="17">
        <f t="shared" si="20"/>
        <v>1.7529409573627972</v>
      </c>
      <c r="F347" s="14">
        <f t="shared" si="21"/>
        <v>2.3510646000000003E-2</v>
      </c>
      <c r="G347" s="16">
        <f t="shared" si="22"/>
        <v>3.2018596839999997E-2</v>
      </c>
      <c r="H347" s="18">
        <f t="shared" si="23"/>
        <v>5.552924284E-2</v>
      </c>
      <c r="K347">
        <v>2.0840000000000001E-2</v>
      </c>
      <c r="L347">
        <v>9.81</v>
      </c>
    </row>
    <row r="348" spans="1:12" x14ac:dyDescent="0.3">
      <c r="A348" s="11">
        <v>5.7679999999999998</v>
      </c>
      <c r="B348" s="12">
        <v>0.125</v>
      </c>
      <c r="C348" s="13">
        <v>-1.841</v>
      </c>
      <c r="D348" s="15">
        <v>0.84399999999999997</v>
      </c>
      <c r="E348" s="17">
        <f t="shared" si="20"/>
        <v>2.0252449234598764</v>
      </c>
      <c r="F348" s="14">
        <f t="shared" si="21"/>
        <v>2.5555050000000003E-2</v>
      </c>
      <c r="G348" s="16">
        <f t="shared" si="22"/>
        <v>4.2738849140000014E-2</v>
      </c>
      <c r="H348" s="18">
        <f t="shared" si="23"/>
        <v>6.8293899140000017E-2</v>
      </c>
      <c r="K348">
        <v>2.0840000000000001E-2</v>
      </c>
      <c r="L348">
        <v>9.81</v>
      </c>
    </row>
    <row r="349" spans="1:12" x14ac:dyDescent="0.3">
      <c r="A349" s="11">
        <v>5.7850000000000001</v>
      </c>
      <c r="B349" s="12">
        <v>0.14299999999999999</v>
      </c>
      <c r="C349" s="13">
        <v>-1.6879999999999999</v>
      </c>
      <c r="D349" s="15">
        <v>0.92100000000000004</v>
      </c>
      <c r="E349" s="17">
        <f t="shared" si="20"/>
        <v>1.9229105543420371</v>
      </c>
      <c r="F349" s="14">
        <f t="shared" si="21"/>
        <v>2.9234977200000001E-2</v>
      </c>
      <c r="G349" s="16">
        <f t="shared" si="22"/>
        <v>3.85288357E-2</v>
      </c>
      <c r="H349" s="18">
        <f t="shared" si="23"/>
        <v>6.7763812899999998E-2</v>
      </c>
      <c r="K349">
        <v>2.0840000000000001E-2</v>
      </c>
      <c r="L349">
        <v>9.81</v>
      </c>
    </row>
    <row r="350" spans="1:12" x14ac:dyDescent="0.3">
      <c r="A350" s="11">
        <v>5.8019999999999996</v>
      </c>
      <c r="B350" s="12">
        <v>0.156</v>
      </c>
      <c r="C350" s="13">
        <v>-1.151</v>
      </c>
      <c r="D350" s="15">
        <v>0.69099999999999995</v>
      </c>
      <c r="E350" s="17">
        <f t="shared" si="20"/>
        <v>1.3424909683122639</v>
      </c>
      <c r="F350" s="14">
        <f t="shared" si="21"/>
        <v>3.18927024E-2</v>
      </c>
      <c r="G350" s="16">
        <f t="shared" si="22"/>
        <v>1.8779778439999999E-2</v>
      </c>
      <c r="H350" s="18">
        <f t="shared" si="23"/>
        <v>5.0672480839999999E-2</v>
      </c>
      <c r="K350">
        <v>2.0840000000000001E-2</v>
      </c>
      <c r="L350">
        <v>9.81</v>
      </c>
    </row>
    <row r="351" spans="1:12" x14ac:dyDescent="0.3">
      <c r="A351" s="11">
        <v>5.8179999999999996</v>
      </c>
      <c r="B351" s="12">
        <v>0.16600000000000001</v>
      </c>
      <c r="C351" s="13">
        <v>-1.304</v>
      </c>
      <c r="D351" s="15">
        <v>0.69099999999999995</v>
      </c>
      <c r="E351" s="17">
        <f t="shared" si="20"/>
        <v>1.4757699685249053</v>
      </c>
      <c r="F351" s="14">
        <f t="shared" si="21"/>
        <v>3.3937106400000007E-2</v>
      </c>
      <c r="G351" s="16">
        <f t="shared" si="22"/>
        <v>2.269368674E-2</v>
      </c>
      <c r="H351" s="18">
        <f t="shared" si="23"/>
        <v>5.663079314000001E-2</v>
      </c>
      <c r="K351">
        <v>2.0840000000000001E-2</v>
      </c>
      <c r="L351">
        <v>9.81</v>
      </c>
    </row>
    <row r="352" spans="1:12" x14ac:dyDescent="0.3">
      <c r="A352" s="11">
        <v>5.835</v>
      </c>
      <c r="B352" s="12">
        <v>0.17899999999999999</v>
      </c>
      <c r="C352" s="13">
        <v>-1.304</v>
      </c>
      <c r="D352" s="15">
        <v>0.69099999999999995</v>
      </c>
      <c r="E352" s="17">
        <f t="shared" si="20"/>
        <v>1.4757699685249053</v>
      </c>
      <c r="F352" s="14">
        <f t="shared" si="21"/>
        <v>3.6594831600000002E-2</v>
      </c>
      <c r="G352" s="16">
        <f t="shared" si="22"/>
        <v>2.269368674E-2</v>
      </c>
      <c r="H352" s="18">
        <f t="shared" si="23"/>
        <v>5.9288518339999999E-2</v>
      </c>
      <c r="K352">
        <v>2.0840000000000001E-2</v>
      </c>
      <c r="L352">
        <v>9.81</v>
      </c>
    </row>
    <row r="353" spans="1:12" x14ac:dyDescent="0.3">
      <c r="A353" s="11">
        <v>5.8520000000000003</v>
      </c>
      <c r="B353" s="12">
        <v>0.189</v>
      </c>
      <c r="C353" s="13">
        <v>-0.997</v>
      </c>
      <c r="D353" s="15">
        <v>0.84399999999999997</v>
      </c>
      <c r="E353" s="17">
        <f t="shared" si="20"/>
        <v>1.3062714113077727</v>
      </c>
      <c r="F353" s="14">
        <f t="shared" si="21"/>
        <v>3.8639235600000002E-2</v>
      </c>
      <c r="G353" s="16">
        <f t="shared" si="22"/>
        <v>1.7780114900000005E-2</v>
      </c>
      <c r="H353" s="18">
        <f t="shared" si="23"/>
        <v>5.6419350500000007E-2</v>
      </c>
      <c r="K353">
        <v>2.0840000000000001E-2</v>
      </c>
      <c r="L353">
        <v>9.81</v>
      </c>
    </row>
    <row r="354" spans="1:12" x14ac:dyDescent="0.3">
      <c r="A354" s="11">
        <v>5.8680000000000003</v>
      </c>
      <c r="B354" s="12">
        <v>0.20699999999999999</v>
      </c>
      <c r="C354" s="13">
        <v>-0.92100000000000004</v>
      </c>
      <c r="D354" s="15">
        <v>0.76700000000000002</v>
      </c>
      <c r="E354" s="17">
        <f t="shared" si="20"/>
        <v>1.1985532946014541</v>
      </c>
      <c r="F354" s="14">
        <f t="shared" si="21"/>
        <v>4.2319162800000004E-2</v>
      </c>
      <c r="G354" s="16">
        <f t="shared" si="22"/>
        <v>1.4968642600000002E-2</v>
      </c>
      <c r="H354" s="18">
        <f t="shared" si="23"/>
        <v>5.7287805400000003E-2</v>
      </c>
      <c r="K354">
        <v>2.0840000000000001E-2</v>
      </c>
      <c r="L354">
        <v>9.81</v>
      </c>
    </row>
    <row r="355" spans="1:12" x14ac:dyDescent="0.3">
      <c r="A355" s="11">
        <v>5.8849999999999998</v>
      </c>
      <c r="B355" s="12">
        <v>0.215</v>
      </c>
      <c r="C355" s="13">
        <v>-0.69099999999999995</v>
      </c>
      <c r="D355" s="15">
        <v>0.46</v>
      </c>
      <c r="E355" s="17">
        <f t="shared" si="20"/>
        <v>0.83010902898354255</v>
      </c>
      <c r="F355" s="14">
        <f t="shared" si="21"/>
        <v>4.3954686000000007E-2</v>
      </c>
      <c r="G355" s="16">
        <f t="shared" si="22"/>
        <v>7.1802240199999997E-3</v>
      </c>
      <c r="H355" s="18">
        <f t="shared" si="23"/>
        <v>5.1134910020000007E-2</v>
      </c>
      <c r="K355">
        <v>2.0840000000000001E-2</v>
      </c>
      <c r="L355">
        <v>9.81</v>
      </c>
    </row>
    <row r="356" spans="1:12" x14ac:dyDescent="0.3">
      <c r="A356" s="11">
        <v>5.9020000000000001</v>
      </c>
      <c r="B356" s="12">
        <v>0.223</v>
      </c>
      <c r="C356" s="13">
        <v>-0.69099999999999995</v>
      </c>
      <c r="D356" s="15">
        <v>0.76700000000000002</v>
      </c>
      <c r="E356" s="17">
        <f t="shared" si="20"/>
        <v>1.0323613708387196</v>
      </c>
      <c r="F356" s="14">
        <f t="shared" si="21"/>
        <v>4.5590209200000002E-2</v>
      </c>
      <c r="G356" s="16">
        <f t="shared" si="22"/>
        <v>1.1105323400000004E-2</v>
      </c>
      <c r="H356" s="18">
        <f t="shared" si="23"/>
        <v>5.6695532600000008E-2</v>
      </c>
      <c r="K356">
        <v>2.0840000000000001E-2</v>
      </c>
      <c r="L356">
        <v>9.81</v>
      </c>
    </row>
    <row r="357" spans="1:12" x14ac:dyDescent="0.3">
      <c r="A357" s="11">
        <v>5.9180000000000001</v>
      </c>
      <c r="B357" s="12">
        <v>0.24</v>
      </c>
      <c r="C357" s="13">
        <v>-0.76700000000000002</v>
      </c>
      <c r="D357" s="15">
        <v>0.53700000000000003</v>
      </c>
      <c r="E357" s="17">
        <f t="shared" si="20"/>
        <v>0.93630016554521667</v>
      </c>
      <c r="F357" s="14">
        <f t="shared" si="21"/>
        <v>4.9065696000000006E-2</v>
      </c>
      <c r="G357" s="16">
        <f t="shared" si="22"/>
        <v>9.1347763600000027E-3</v>
      </c>
      <c r="H357" s="18">
        <f t="shared" si="23"/>
        <v>5.8200472360000005E-2</v>
      </c>
      <c r="K357">
        <v>2.0840000000000001E-2</v>
      </c>
      <c r="L357">
        <v>9.81</v>
      </c>
    </row>
    <row r="358" spans="1:12" x14ac:dyDescent="0.3">
      <c r="A358" s="11">
        <v>5.9349999999999996</v>
      </c>
      <c r="B358" s="12">
        <v>0.24</v>
      </c>
      <c r="C358" s="13">
        <v>-0.61399999999999999</v>
      </c>
      <c r="D358" s="15">
        <v>0.153</v>
      </c>
      <c r="E358" s="17">
        <f t="shared" si="20"/>
        <v>0.63277563164205364</v>
      </c>
      <c r="F358" s="14">
        <f t="shared" si="21"/>
        <v>4.9065696000000006E-2</v>
      </c>
      <c r="G358" s="16">
        <f t="shared" si="22"/>
        <v>4.1722200999999995E-3</v>
      </c>
      <c r="H358" s="18">
        <f t="shared" si="23"/>
        <v>5.3237916100000005E-2</v>
      </c>
      <c r="K358">
        <v>2.0840000000000001E-2</v>
      </c>
      <c r="L358">
        <v>9.81</v>
      </c>
    </row>
    <row r="359" spans="1:12" x14ac:dyDescent="0.3">
      <c r="A359" s="11">
        <v>5.952</v>
      </c>
      <c r="B359" s="12">
        <v>0.246</v>
      </c>
      <c r="C359" s="13">
        <v>-0.53700000000000003</v>
      </c>
      <c r="D359" s="15">
        <v>0.46</v>
      </c>
      <c r="E359" s="17">
        <f t="shared" si="20"/>
        <v>0.70708486053655539</v>
      </c>
      <c r="F359" s="14">
        <f t="shared" si="21"/>
        <v>5.0292338400000004E-2</v>
      </c>
      <c r="G359" s="16">
        <f t="shared" si="22"/>
        <v>5.2096769800000003E-3</v>
      </c>
      <c r="H359" s="18">
        <f t="shared" si="23"/>
        <v>5.5502015380000005E-2</v>
      </c>
      <c r="K359">
        <v>2.0840000000000001E-2</v>
      </c>
      <c r="L359">
        <v>9.81</v>
      </c>
    </row>
    <row r="360" spans="1:12" x14ac:dyDescent="0.3">
      <c r="A360" s="11">
        <v>5.968</v>
      </c>
      <c r="B360" s="12">
        <v>0.25600000000000001</v>
      </c>
      <c r="C360" s="13">
        <v>-0.46</v>
      </c>
      <c r="D360" s="15">
        <v>0.23</v>
      </c>
      <c r="E360" s="17">
        <f t="shared" si="20"/>
        <v>0.51429563482495166</v>
      </c>
      <c r="F360" s="14">
        <f t="shared" si="21"/>
        <v>5.2336742400000004E-2</v>
      </c>
      <c r="G360" s="16">
        <f t="shared" si="22"/>
        <v>2.7560900000000001E-3</v>
      </c>
      <c r="H360" s="18">
        <f t="shared" si="23"/>
        <v>5.5092832400000007E-2</v>
      </c>
      <c r="K360">
        <v>2.0840000000000001E-2</v>
      </c>
      <c r="L360">
        <v>9.81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BDCE-8D0B-478E-8628-F3F00EDF23A9}">
  <dimension ref="A1:W255"/>
  <sheetViews>
    <sheetView tabSelected="1" topLeftCell="A10" workbookViewId="0">
      <selection activeCell="N29" sqref="N29"/>
    </sheetView>
  </sheetViews>
  <sheetFormatPr defaultRowHeight="15.6" x14ac:dyDescent="0.3"/>
  <cols>
    <col min="17" max="17" width="12.796875" customWidth="1"/>
    <col min="18" max="18" width="15" customWidth="1"/>
    <col min="19" max="19" width="13.8984375" customWidth="1"/>
    <col min="23" max="23" width="14.19921875" customWidth="1"/>
  </cols>
  <sheetData>
    <row r="1" spans="1:23" x14ac:dyDescent="0.3">
      <c r="A1" t="s">
        <v>0</v>
      </c>
      <c r="B1" t="s">
        <v>5</v>
      </c>
      <c r="C1" t="s">
        <v>9</v>
      </c>
      <c r="D1" t="s">
        <v>10</v>
      </c>
      <c r="Q1" t="s">
        <v>1</v>
      </c>
      <c r="R1" t="s">
        <v>2</v>
      </c>
      <c r="S1" t="s">
        <v>3</v>
      </c>
      <c r="T1" t="s">
        <v>4</v>
      </c>
      <c r="V1" t="s">
        <v>6</v>
      </c>
      <c r="W1" t="s">
        <v>7</v>
      </c>
    </row>
    <row r="2" spans="1:23" x14ac:dyDescent="0.3">
      <c r="A2" s="1">
        <v>0</v>
      </c>
      <c r="B2" s="2">
        <f>V2*W2*Q2</f>
        <v>6.0718798800000001E-2</v>
      </c>
      <c r="C2" s="2">
        <f>(V2*(T2)^(2))/(2)</f>
        <v>0</v>
      </c>
      <c r="D2" s="2">
        <f>(B2+C2)</f>
        <v>6.0718798800000001E-2</v>
      </c>
      <c r="Q2" s="1">
        <v>0.29699999999999999</v>
      </c>
      <c r="R2" s="1">
        <v>0</v>
      </c>
      <c r="S2" s="1">
        <v>0</v>
      </c>
      <c r="T2" s="1">
        <f>SQRT((R2)^(2)+(S2)^(2))</f>
        <v>0</v>
      </c>
      <c r="V2">
        <v>2.0840000000000001E-2</v>
      </c>
      <c r="W2">
        <v>9.81</v>
      </c>
    </row>
    <row r="3" spans="1:23" x14ac:dyDescent="0.3">
      <c r="A3" s="1">
        <v>1.7000000000000001E-2</v>
      </c>
      <c r="B3" s="2">
        <f t="shared" ref="B3:B66" si="0">V3*W3*Q3</f>
        <v>6.0718798800000001E-2</v>
      </c>
      <c r="C3" s="2">
        <f t="shared" ref="C3:C66" si="1">(V3*(T3)^(2))/(2)</f>
        <v>2.4392178E-4</v>
      </c>
      <c r="D3" s="2">
        <f>(B3+C3)</f>
        <v>6.0962720580000004E-2</v>
      </c>
      <c r="Q3" s="1">
        <v>0.29699999999999999</v>
      </c>
      <c r="R3" s="1">
        <v>0.153</v>
      </c>
      <c r="S3" s="1">
        <v>0</v>
      </c>
      <c r="T3" s="1">
        <f t="shared" ref="T3:T66" si="2">SQRT((R3)^(2)+(S3)^(2))</f>
        <v>0.153</v>
      </c>
      <c r="V3">
        <v>2.0840000000000001E-2</v>
      </c>
      <c r="W3">
        <v>9.81</v>
      </c>
    </row>
    <row r="4" spans="1:23" x14ac:dyDescent="0.3">
      <c r="A4" s="1">
        <v>3.3000000000000002E-2</v>
      </c>
      <c r="B4" s="2">
        <f t="shared" si="0"/>
        <v>6.0718798800000001E-2</v>
      </c>
      <c r="C4" s="2">
        <f t="shared" si="1"/>
        <v>4.8784355999999994E-4</v>
      </c>
      <c r="D4" s="2">
        <f t="shared" ref="D4:D67" si="3">(B4+C4)</f>
        <v>6.1206642360000001E-2</v>
      </c>
      <c r="Q4" s="1">
        <v>0.29699999999999999</v>
      </c>
      <c r="R4" s="1">
        <v>0.153</v>
      </c>
      <c r="S4" s="1">
        <v>-0.153</v>
      </c>
      <c r="T4" s="1">
        <f t="shared" si="2"/>
        <v>0.21637467504308353</v>
      </c>
      <c r="V4">
        <v>2.0840000000000001E-2</v>
      </c>
      <c r="W4">
        <v>9.81</v>
      </c>
    </row>
    <row r="5" spans="1:23" x14ac:dyDescent="0.3">
      <c r="A5" s="1">
        <v>0.05</v>
      </c>
      <c r="B5" s="2">
        <f t="shared" si="0"/>
        <v>5.9696596800000001E-2</v>
      </c>
      <c r="C5" s="2">
        <f t="shared" si="1"/>
        <v>2.5185660999999999E-3</v>
      </c>
      <c r="D5" s="2">
        <f t="shared" si="3"/>
        <v>6.2215162900000003E-2</v>
      </c>
      <c r="Q5" s="1">
        <v>0.29199999999999998</v>
      </c>
      <c r="R5" s="1">
        <v>0.38400000000000001</v>
      </c>
      <c r="S5" s="1">
        <v>-0.307</v>
      </c>
      <c r="T5" s="1">
        <f t="shared" si="2"/>
        <v>0.49163502723056662</v>
      </c>
      <c r="V5">
        <v>2.0840000000000001E-2</v>
      </c>
      <c r="W5">
        <v>9.81</v>
      </c>
    </row>
    <row r="6" spans="1:23" x14ac:dyDescent="0.3">
      <c r="A6" s="1">
        <v>6.7000000000000004E-2</v>
      </c>
      <c r="B6" s="2">
        <f t="shared" si="0"/>
        <v>5.8469954400000003E-2</v>
      </c>
      <c r="C6" s="2">
        <f t="shared" si="1"/>
        <v>2.5185660999999999E-3</v>
      </c>
      <c r="D6" s="2">
        <f t="shared" si="3"/>
        <v>6.0988520500000004E-2</v>
      </c>
      <c r="Q6" s="1">
        <v>0.28599999999999998</v>
      </c>
      <c r="R6" s="1">
        <v>0.38400000000000001</v>
      </c>
      <c r="S6" s="1">
        <v>-0.307</v>
      </c>
      <c r="T6" s="1">
        <f t="shared" si="2"/>
        <v>0.49163502723056662</v>
      </c>
      <c r="V6">
        <v>2.0840000000000001E-2</v>
      </c>
      <c r="W6">
        <v>9.81</v>
      </c>
    </row>
    <row r="7" spans="1:23" x14ac:dyDescent="0.3">
      <c r="A7" s="1">
        <v>8.3000000000000004E-2</v>
      </c>
      <c r="B7" s="2">
        <f t="shared" si="0"/>
        <v>5.744775240000001E-2</v>
      </c>
      <c r="C7" s="2">
        <f t="shared" si="1"/>
        <v>2.5185660999999999E-3</v>
      </c>
      <c r="D7" s="2">
        <f t="shared" si="3"/>
        <v>5.9966318500000011E-2</v>
      </c>
      <c r="Q7" s="1">
        <v>0.28100000000000003</v>
      </c>
      <c r="R7" s="1">
        <v>0.38400000000000001</v>
      </c>
      <c r="S7" s="1">
        <v>-0.307</v>
      </c>
      <c r="T7" s="1">
        <f t="shared" si="2"/>
        <v>0.49163502723056662</v>
      </c>
      <c r="V7">
        <v>2.0840000000000001E-2</v>
      </c>
      <c r="W7">
        <v>9.81</v>
      </c>
    </row>
    <row r="8" spans="1:23" x14ac:dyDescent="0.3">
      <c r="A8" s="1">
        <v>0.1</v>
      </c>
      <c r="B8" s="2">
        <f t="shared" si="0"/>
        <v>5.642555040000001E-2</v>
      </c>
      <c r="C8" s="2">
        <f t="shared" si="1"/>
        <v>7.1802240199999997E-3</v>
      </c>
      <c r="D8" s="2">
        <f t="shared" si="3"/>
        <v>6.3605774420000011E-2</v>
      </c>
      <c r="Q8" s="1">
        <v>0.27600000000000002</v>
      </c>
      <c r="R8" s="1">
        <v>0.69099999999999995</v>
      </c>
      <c r="S8" s="1">
        <v>-0.46</v>
      </c>
      <c r="T8" s="1">
        <f t="shared" si="2"/>
        <v>0.83010902898354255</v>
      </c>
      <c r="V8">
        <v>2.0840000000000001E-2</v>
      </c>
      <c r="W8">
        <v>9.81</v>
      </c>
    </row>
    <row r="9" spans="1:23" x14ac:dyDescent="0.3">
      <c r="A9" s="1">
        <v>0.11700000000000001</v>
      </c>
      <c r="B9" s="2">
        <f t="shared" si="0"/>
        <v>5.4381146400000011E-2</v>
      </c>
      <c r="C9" s="2">
        <f t="shared" si="1"/>
        <v>9.1347763600000027E-3</v>
      </c>
      <c r="D9" s="2">
        <f t="shared" si="3"/>
        <v>6.351592276000001E-2</v>
      </c>
      <c r="Q9" s="1">
        <v>0.26600000000000001</v>
      </c>
      <c r="R9" s="1">
        <v>0.76700000000000002</v>
      </c>
      <c r="S9" s="1">
        <v>-0.53700000000000003</v>
      </c>
      <c r="T9" s="1">
        <f t="shared" si="2"/>
        <v>0.93630016554521667</v>
      </c>
      <c r="V9">
        <v>2.0840000000000001E-2</v>
      </c>
      <c r="W9">
        <v>9.81</v>
      </c>
    </row>
    <row r="10" spans="1:23" x14ac:dyDescent="0.3">
      <c r="A10" s="1">
        <v>0.13300000000000001</v>
      </c>
      <c r="B10" s="2">
        <f t="shared" si="0"/>
        <v>5.2745623200000008E-2</v>
      </c>
      <c r="C10" s="2">
        <f t="shared" si="1"/>
        <v>8.9036503399999977E-3</v>
      </c>
      <c r="D10" s="2">
        <f t="shared" si="3"/>
        <v>6.1649273540000007E-2</v>
      </c>
      <c r="Q10" s="1">
        <v>0.25800000000000001</v>
      </c>
      <c r="R10" s="1">
        <v>0.69099999999999995</v>
      </c>
      <c r="S10" s="1">
        <v>-0.61399999999999999</v>
      </c>
      <c r="T10" s="1">
        <f t="shared" si="2"/>
        <v>0.92437925117345632</v>
      </c>
      <c r="V10">
        <v>2.0840000000000001E-2</v>
      </c>
      <c r="W10">
        <v>9.81</v>
      </c>
    </row>
    <row r="11" spans="1:23" x14ac:dyDescent="0.3">
      <c r="A11" s="1">
        <v>0.15</v>
      </c>
      <c r="B11" s="2">
        <f t="shared" si="0"/>
        <v>5.0292338400000004E-2</v>
      </c>
      <c r="C11" s="2">
        <f t="shared" si="1"/>
        <v>1.3814023240000001E-2</v>
      </c>
      <c r="D11" s="2">
        <f t="shared" si="3"/>
        <v>6.4106361639999998E-2</v>
      </c>
      <c r="Q11" s="1">
        <v>0.246</v>
      </c>
      <c r="R11" s="1">
        <v>0.92100000000000004</v>
      </c>
      <c r="S11" s="1">
        <v>-0.69099999999999995</v>
      </c>
      <c r="T11" s="1">
        <f t="shared" si="2"/>
        <v>1.151400017370158</v>
      </c>
      <c r="V11">
        <v>2.0840000000000001E-2</v>
      </c>
      <c r="W11">
        <v>9.81</v>
      </c>
    </row>
    <row r="12" spans="1:23" x14ac:dyDescent="0.3">
      <c r="A12" s="1">
        <v>0.16700000000000001</v>
      </c>
      <c r="B12" s="2">
        <f t="shared" si="0"/>
        <v>4.8043493999999999E-2</v>
      </c>
      <c r="C12" s="2">
        <f t="shared" si="1"/>
        <v>1.6994571940000001E-2</v>
      </c>
      <c r="D12" s="2">
        <f t="shared" si="3"/>
        <v>6.5038065940000001E-2</v>
      </c>
      <c r="Q12" s="1">
        <v>0.23499999999999999</v>
      </c>
      <c r="R12" s="1">
        <v>1.0740000000000001</v>
      </c>
      <c r="S12" s="1">
        <v>-0.69099999999999995</v>
      </c>
      <c r="T12" s="1">
        <f t="shared" si="2"/>
        <v>1.2770892686104602</v>
      </c>
      <c r="V12">
        <v>2.0840000000000001E-2</v>
      </c>
      <c r="W12">
        <v>9.81</v>
      </c>
    </row>
    <row r="13" spans="1:23" x14ac:dyDescent="0.3">
      <c r="A13" s="1">
        <v>0.183</v>
      </c>
      <c r="B13" s="2">
        <f t="shared" si="0"/>
        <v>4.5590209200000002E-2</v>
      </c>
      <c r="C13" s="2">
        <f t="shared" si="1"/>
        <v>1.8149191300000006E-2</v>
      </c>
      <c r="D13" s="2">
        <f t="shared" si="3"/>
        <v>6.3739400500000015E-2</v>
      </c>
      <c r="Q13" s="1">
        <v>0.223</v>
      </c>
      <c r="R13" s="1">
        <v>1.0740000000000001</v>
      </c>
      <c r="S13" s="1">
        <v>-0.76700000000000002</v>
      </c>
      <c r="T13" s="1">
        <f t="shared" si="2"/>
        <v>1.3197594477782686</v>
      </c>
      <c r="V13">
        <v>2.0840000000000001E-2</v>
      </c>
      <c r="W13">
        <v>9.81</v>
      </c>
    </row>
    <row r="14" spans="1:23" x14ac:dyDescent="0.3">
      <c r="A14" s="1">
        <v>0.2</v>
      </c>
      <c r="B14" s="2">
        <f t="shared" si="0"/>
        <v>4.2932484E-2</v>
      </c>
      <c r="C14" s="2">
        <f t="shared" si="1"/>
        <v>2.4551864500000003E-2</v>
      </c>
      <c r="D14" s="2">
        <f t="shared" si="3"/>
        <v>6.7484348499999999E-2</v>
      </c>
      <c r="Q14" s="1">
        <v>0.21</v>
      </c>
      <c r="R14" s="1">
        <v>1.228</v>
      </c>
      <c r="S14" s="1">
        <v>-0.92100000000000004</v>
      </c>
      <c r="T14" s="1">
        <f t="shared" si="2"/>
        <v>1.5350000000000001</v>
      </c>
      <c r="V14">
        <v>2.0840000000000001E-2</v>
      </c>
      <c r="W14">
        <v>9.81</v>
      </c>
    </row>
    <row r="15" spans="1:23" x14ac:dyDescent="0.3">
      <c r="A15" s="1">
        <v>0.217</v>
      </c>
      <c r="B15" s="2">
        <f t="shared" si="0"/>
        <v>3.9252556800000005E-2</v>
      </c>
      <c r="C15" s="2">
        <f t="shared" si="1"/>
        <v>2.7295158740000002E-2</v>
      </c>
      <c r="D15" s="2">
        <f t="shared" si="3"/>
        <v>6.654771554000001E-2</v>
      </c>
      <c r="Q15" s="1">
        <v>0.192</v>
      </c>
      <c r="R15" s="1">
        <v>1.381</v>
      </c>
      <c r="S15" s="1">
        <v>-0.84399999999999997</v>
      </c>
      <c r="T15" s="1">
        <f t="shared" si="2"/>
        <v>1.6184860209467364</v>
      </c>
      <c r="V15">
        <v>2.0840000000000001E-2</v>
      </c>
      <c r="W15">
        <v>9.81</v>
      </c>
    </row>
    <row r="16" spans="1:23" x14ac:dyDescent="0.3">
      <c r="A16" s="1">
        <v>0.23300000000000001</v>
      </c>
      <c r="B16" s="2">
        <f t="shared" si="0"/>
        <v>3.7208152800000005E-2</v>
      </c>
      <c r="C16" s="2">
        <f t="shared" si="1"/>
        <v>2.8280432259999998E-2</v>
      </c>
      <c r="D16" s="2">
        <f t="shared" si="3"/>
        <v>6.5488585060000007E-2</v>
      </c>
      <c r="Q16" s="1">
        <v>0.182</v>
      </c>
      <c r="R16" s="1">
        <v>1.458</v>
      </c>
      <c r="S16" s="1">
        <v>-0.76700000000000002</v>
      </c>
      <c r="T16" s="1">
        <f t="shared" si="2"/>
        <v>1.6474383144749305</v>
      </c>
      <c r="V16">
        <v>2.0840000000000001E-2</v>
      </c>
      <c r="W16">
        <v>9.81</v>
      </c>
    </row>
    <row r="17" spans="1:23" x14ac:dyDescent="0.3">
      <c r="A17" s="1">
        <v>0.25</v>
      </c>
      <c r="B17" s="2">
        <f t="shared" si="0"/>
        <v>3.3937106400000007E-2</v>
      </c>
      <c r="C17" s="2">
        <f t="shared" si="1"/>
        <v>3.5881916040000003E-2</v>
      </c>
      <c r="D17" s="2">
        <f t="shared" si="3"/>
        <v>6.9819022440000017E-2</v>
      </c>
      <c r="Q17" s="1">
        <v>0.16600000000000001</v>
      </c>
      <c r="R17" s="1">
        <v>1.611</v>
      </c>
      <c r="S17" s="1">
        <v>-0.92100000000000004</v>
      </c>
      <c r="T17" s="1">
        <f t="shared" si="2"/>
        <v>1.855683701496567</v>
      </c>
      <c r="V17">
        <v>2.0840000000000001E-2</v>
      </c>
      <c r="W17">
        <v>9.81</v>
      </c>
    </row>
    <row r="18" spans="1:23" x14ac:dyDescent="0.3">
      <c r="A18" s="1">
        <v>0.26700000000000002</v>
      </c>
      <c r="B18" s="2">
        <f t="shared" si="0"/>
        <v>3.0870500400000004E-2</v>
      </c>
      <c r="C18" s="2">
        <f t="shared" si="1"/>
        <v>3.5881916040000003E-2</v>
      </c>
      <c r="D18" s="2">
        <f t="shared" si="3"/>
        <v>6.6752416440000004E-2</v>
      </c>
      <c r="Q18" s="1">
        <v>0.151</v>
      </c>
      <c r="R18" s="1">
        <v>1.611</v>
      </c>
      <c r="S18" s="1">
        <v>-0.92100000000000004</v>
      </c>
      <c r="T18" s="1">
        <f t="shared" si="2"/>
        <v>1.855683701496567</v>
      </c>
      <c r="V18">
        <v>2.0840000000000001E-2</v>
      </c>
      <c r="W18">
        <v>9.81</v>
      </c>
    </row>
    <row r="19" spans="1:23" x14ac:dyDescent="0.3">
      <c r="A19" s="1">
        <v>0.28299999999999997</v>
      </c>
      <c r="B19" s="2">
        <f t="shared" si="0"/>
        <v>2.7803894400000004E-2</v>
      </c>
      <c r="C19" s="2">
        <f t="shared" si="1"/>
        <v>4.1299315719999993E-2</v>
      </c>
      <c r="D19" s="2">
        <f t="shared" si="3"/>
        <v>6.9103210119999994E-2</v>
      </c>
      <c r="Q19" s="1">
        <v>0.13600000000000001</v>
      </c>
      <c r="R19" s="1">
        <v>1.7649999999999999</v>
      </c>
      <c r="S19" s="1">
        <v>-0.92100000000000004</v>
      </c>
      <c r="T19" s="1">
        <f t="shared" si="2"/>
        <v>1.9908455490067529</v>
      </c>
      <c r="V19">
        <v>2.0840000000000001E-2</v>
      </c>
      <c r="W19">
        <v>9.81</v>
      </c>
    </row>
    <row r="20" spans="1:23" x14ac:dyDescent="0.3">
      <c r="A20" s="1">
        <v>0.3</v>
      </c>
      <c r="B20" s="2">
        <f t="shared" si="0"/>
        <v>2.4532848000000003E-2</v>
      </c>
      <c r="C20" s="2">
        <f t="shared" si="1"/>
        <v>5.1829434280000017E-2</v>
      </c>
      <c r="D20" s="2">
        <f t="shared" si="3"/>
        <v>7.6362282280000027E-2</v>
      </c>
      <c r="Q20" s="1">
        <v>0.12</v>
      </c>
      <c r="R20" s="1">
        <v>1.9950000000000001</v>
      </c>
      <c r="S20" s="1">
        <v>-0.997</v>
      </c>
      <c r="T20" s="1">
        <f t="shared" si="2"/>
        <v>2.2302542455962282</v>
      </c>
      <c r="V20">
        <v>2.0840000000000001E-2</v>
      </c>
      <c r="W20">
        <v>9.81</v>
      </c>
    </row>
    <row r="21" spans="1:23" x14ac:dyDescent="0.3">
      <c r="A21" s="1">
        <v>0.317</v>
      </c>
      <c r="B21" s="2">
        <f t="shared" si="0"/>
        <v>2.0852920800000001E-2</v>
      </c>
      <c r="C21" s="2">
        <f t="shared" si="1"/>
        <v>4.7170975300000001E-2</v>
      </c>
      <c r="D21" s="2">
        <f t="shared" si="3"/>
        <v>6.8023896100000009E-2</v>
      </c>
      <c r="Q21" s="1">
        <v>0.10199999999999999</v>
      </c>
      <c r="R21" s="1">
        <v>1.9179999999999999</v>
      </c>
      <c r="S21" s="1">
        <v>-0.92100000000000004</v>
      </c>
      <c r="T21" s="1">
        <f t="shared" si="2"/>
        <v>2.1276665622225677</v>
      </c>
      <c r="V21">
        <v>2.0840000000000001E-2</v>
      </c>
      <c r="W21">
        <v>9.81</v>
      </c>
    </row>
    <row r="22" spans="1:23" x14ac:dyDescent="0.3">
      <c r="A22" s="1">
        <v>0.33300000000000002</v>
      </c>
      <c r="B22" s="2">
        <f t="shared" si="0"/>
        <v>1.8299460204000004E-2</v>
      </c>
      <c r="C22" s="2">
        <f t="shared" si="1"/>
        <v>5.4206851060000012E-2</v>
      </c>
      <c r="D22" s="2">
        <f t="shared" si="3"/>
        <v>7.250631126400002E-2</v>
      </c>
      <c r="Q22" s="1">
        <v>8.9510000000000006E-2</v>
      </c>
      <c r="R22" s="1">
        <v>2.1480000000000001</v>
      </c>
      <c r="S22" s="1">
        <v>-0.76700000000000002</v>
      </c>
      <c r="T22" s="1">
        <f t="shared" si="2"/>
        <v>2.2808316465710488</v>
      </c>
      <c r="V22">
        <v>2.0840000000000001E-2</v>
      </c>
      <c r="W22">
        <v>9.81</v>
      </c>
    </row>
    <row r="23" spans="1:23" x14ac:dyDescent="0.3">
      <c r="A23" s="1">
        <v>0.35</v>
      </c>
      <c r="B23" s="2">
        <f t="shared" si="0"/>
        <v>1.5686711892000004E-2</v>
      </c>
      <c r="C23" s="2">
        <f t="shared" si="1"/>
        <v>6.1347677060000022E-2</v>
      </c>
      <c r="D23" s="2">
        <f t="shared" si="3"/>
        <v>7.703438895200003E-2</v>
      </c>
      <c r="Q23" s="1">
        <v>7.6730000000000007E-2</v>
      </c>
      <c r="R23" s="1">
        <v>2.302</v>
      </c>
      <c r="S23" s="1">
        <v>-0.76700000000000002</v>
      </c>
      <c r="T23" s="1">
        <f t="shared" si="2"/>
        <v>2.4264156692537249</v>
      </c>
      <c r="V23">
        <v>2.0840000000000001E-2</v>
      </c>
      <c r="W23">
        <v>9.81</v>
      </c>
    </row>
    <row r="24" spans="1:23" x14ac:dyDescent="0.3">
      <c r="A24" s="1">
        <v>0.36699999999999999</v>
      </c>
      <c r="B24" s="2">
        <f t="shared" si="0"/>
        <v>1.3071919176000001E-2</v>
      </c>
      <c r="C24" s="2">
        <f t="shared" si="1"/>
        <v>5.7715483880000015E-2</v>
      </c>
      <c r="D24" s="2">
        <f t="shared" si="3"/>
        <v>7.0787403056000009E-2</v>
      </c>
      <c r="Q24" s="1">
        <v>6.3939999999999997E-2</v>
      </c>
      <c r="R24" s="1">
        <v>2.2250000000000001</v>
      </c>
      <c r="S24" s="1">
        <v>-0.76700000000000002</v>
      </c>
      <c r="T24" s="1">
        <f t="shared" si="2"/>
        <v>2.3534897492872155</v>
      </c>
      <c r="V24">
        <v>2.0840000000000001E-2</v>
      </c>
      <c r="W24">
        <v>9.81</v>
      </c>
    </row>
    <row r="25" spans="1:23" x14ac:dyDescent="0.3">
      <c r="A25" s="1">
        <v>0.38300000000000001</v>
      </c>
      <c r="B25" s="2">
        <f t="shared" si="0"/>
        <v>1.0457126460000001E-2</v>
      </c>
      <c r="C25" s="2">
        <f t="shared" si="1"/>
        <v>6.0193057700000011E-2</v>
      </c>
      <c r="D25" s="2">
        <f t="shared" si="3"/>
        <v>7.0650184160000018E-2</v>
      </c>
      <c r="Q25" s="1">
        <v>5.1150000000000001E-2</v>
      </c>
      <c r="R25" s="1">
        <v>2.302</v>
      </c>
      <c r="S25" s="1">
        <v>-0.69099999999999995</v>
      </c>
      <c r="T25" s="1">
        <f t="shared" si="2"/>
        <v>2.4034735280422792</v>
      </c>
      <c r="V25">
        <v>2.0840000000000001E-2</v>
      </c>
      <c r="W25">
        <v>9.81</v>
      </c>
    </row>
    <row r="26" spans="1:23" x14ac:dyDescent="0.3">
      <c r="A26" s="1">
        <v>0.4</v>
      </c>
      <c r="B26" s="2">
        <f t="shared" si="0"/>
        <v>8.3657011680000008E-3</v>
      </c>
      <c r="C26" s="2">
        <f t="shared" si="1"/>
        <v>6.6729898820000008E-2</v>
      </c>
      <c r="D26" s="2">
        <f t="shared" si="3"/>
        <v>7.5095599988000014E-2</v>
      </c>
      <c r="G26" t="s">
        <v>14</v>
      </c>
      <c r="H26" cm="1">
        <f t="array" ref="H26:I30">LINEST(D2:D255, A2:A255, TRUE, TRUE)</f>
        <v>-1.7190894321104282E-3</v>
      </c>
      <c r="I26">
        <v>6.7542178959495214E-2</v>
      </c>
      <c r="J26" t="s">
        <v>16</v>
      </c>
      <c r="Q26" s="1">
        <v>4.0919999999999998E-2</v>
      </c>
      <c r="R26" s="1">
        <v>2.4550000000000001</v>
      </c>
      <c r="S26" s="1">
        <v>-0.61399999999999999</v>
      </c>
      <c r="T26" s="1">
        <f t="shared" si="2"/>
        <v>2.5306167232514687</v>
      </c>
      <c r="V26">
        <v>2.0840000000000001E-2</v>
      </c>
      <c r="W26">
        <v>9.81</v>
      </c>
    </row>
    <row r="27" spans="1:23" x14ac:dyDescent="0.3">
      <c r="A27" s="1">
        <v>0.41699999999999998</v>
      </c>
      <c r="B27" s="2">
        <f t="shared" si="0"/>
        <v>6.2742758760000001E-3</v>
      </c>
      <c r="C27" s="2">
        <f t="shared" si="1"/>
        <v>6.580640548000001E-2</v>
      </c>
      <c r="D27" s="2">
        <f t="shared" si="3"/>
        <v>7.2080681356000015E-2</v>
      </c>
      <c r="G27" t="s">
        <v>15</v>
      </c>
      <c r="H27">
        <v>3.2488726170138918E-4</v>
      </c>
      <c r="I27">
        <v>7.9171763998476749E-4</v>
      </c>
      <c r="J27" t="s">
        <v>15</v>
      </c>
      <c r="Q27" s="1">
        <v>3.0689999999999999E-2</v>
      </c>
      <c r="R27" s="1">
        <v>2.4550000000000001</v>
      </c>
      <c r="S27" s="1">
        <v>-0.53700000000000003</v>
      </c>
      <c r="T27" s="1">
        <f t="shared" si="2"/>
        <v>2.5130447668117655</v>
      </c>
      <c r="V27">
        <v>2.0840000000000001E-2</v>
      </c>
      <c r="W27">
        <v>9.81</v>
      </c>
    </row>
    <row r="28" spans="1:23" x14ac:dyDescent="0.3">
      <c r="A28" s="1">
        <v>0.433</v>
      </c>
      <c r="B28" s="2">
        <f t="shared" si="0"/>
        <v>4.7062180080000007E-3</v>
      </c>
      <c r="C28" s="2">
        <f t="shared" si="1"/>
        <v>6.9807675060000005E-2</v>
      </c>
      <c r="D28" s="2">
        <f t="shared" si="3"/>
        <v>7.4513893068000006E-2</v>
      </c>
      <c r="H28">
        <v>9.9994517248039927E-2</v>
      </c>
      <c r="I28">
        <v>6.3275895549888307E-3</v>
      </c>
      <c r="Q28" s="1">
        <v>2.3019999999999999E-2</v>
      </c>
      <c r="R28" s="1">
        <v>2.532</v>
      </c>
      <c r="S28" s="1">
        <v>-0.53700000000000003</v>
      </c>
      <c r="T28" s="1">
        <f t="shared" si="2"/>
        <v>2.5883185661738008</v>
      </c>
      <c r="V28">
        <v>2.0840000000000001E-2</v>
      </c>
      <c r="W28">
        <v>9.81</v>
      </c>
    </row>
    <row r="29" spans="1:23" x14ac:dyDescent="0.3">
      <c r="A29" s="1">
        <v>0.45</v>
      </c>
      <c r="B29" s="2">
        <f t="shared" si="0"/>
        <v>2.6147927160000001E-3</v>
      </c>
      <c r="C29" s="2">
        <f t="shared" si="1"/>
        <v>7.4855998339999993E-2</v>
      </c>
      <c r="D29" s="2">
        <f t="shared" si="3"/>
        <v>7.7470791055999993E-2</v>
      </c>
      <c r="H29">
        <v>27.998294265336998</v>
      </c>
      <c r="I29">
        <v>252</v>
      </c>
      <c r="Q29" s="1">
        <v>1.2789999999999999E-2</v>
      </c>
      <c r="R29" s="1">
        <v>2.609</v>
      </c>
      <c r="S29" s="1">
        <v>-0.61399999999999999</v>
      </c>
      <c r="T29" s="1">
        <f t="shared" si="2"/>
        <v>2.6802755455363165</v>
      </c>
      <c r="V29">
        <v>2.0840000000000001E-2</v>
      </c>
      <c r="W29">
        <v>9.81</v>
      </c>
    </row>
    <row r="30" spans="1:23" x14ac:dyDescent="0.3">
      <c r="A30" s="1">
        <v>0.46700000000000003</v>
      </c>
      <c r="B30" s="2">
        <f t="shared" si="0"/>
        <v>5.2295854320000008E-4</v>
      </c>
      <c r="C30" s="2">
        <f t="shared" si="1"/>
        <v>7.4855998339999993E-2</v>
      </c>
      <c r="D30" s="2">
        <f t="shared" si="3"/>
        <v>7.5378956883199996E-2</v>
      </c>
      <c r="H30">
        <v>1.1210066132703537E-3</v>
      </c>
      <c r="I30">
        <v>1.0089674173253745E-2</v>
      </c>
      <c r="Q30" s="1">
        <v>2.5579999999999999E-3</v>
      </c>
      <c r="R30" s="1">
        <v>2.609</v>
      </c>
      <c r="S30" s="1">
        <v>-0.61399999999999999</v>
      </c>
      <c r="T30" s="1">
        <f t="shared" si="2"/>
        <v>2.6802755455363165</v>
      </c>
      <c r="V30">
        <v>2.0840000000000001E-2</v>
      </c>
      <c r="W30">
        <v>9.81</v>
      </c>
    </row>
    <row r="31" spans="1:23" x14ac:dyDescent="0.3">
      <c r="A31" s="1">
        <v>0.48299999999999998</v>
      </c>
      <c r="B31" s="2">
        <f t="shared" si="0"/>
        <v>-1.5686711892000003E-3</v>
      </c>
      <c r="C31" s="2">
        <f t="shared" si="1"/>
        <v>7.190977459999999E-2</v>
      </c>
      <c r="D31" s="2">
        <f t="shared" si="3"/>
        <v>7.0341103410799993E-2</v>
      </c>
      <c r="Q31" s="1">
        <v>-7.6730000000000001E-3</v>
      </c>
      <c r="R31" s="1">
        <v>2.609</v>
      </c>
      <c r="S31" s="1">
        <v>-0.307</v>
      </c>
      <c r="T31" s="1">
        <f t="shared" si="2"/>
        <v>2.6270001903311693</v>
      </c>
      <c r="V31">
        <v>2.0840000000000001E-2</v>
      </c>
      <c r="W31">
        <v>9.81</v>
      </c>
    </row>
    <row r="32" spans="1:23" x14ac:dyDescent="0.3">
      <c r="A32" s="1">
        <v>0.5</v>
      </c>
      <c r="B32" s="2">
        <f t="shared" si="0"/>
        <v>-1.5686711892000003E-3</v>
      </c>
      <c r="C32" s="2">
        <f t="shared" si="1"/>
        <v>7.5181472176018005E-2</v>
      </c>
      <c r="D32" s="2">
        <f t="shared" si="3"/>
        <v>7.3612800986818008E-2</v>
      </c>
      <c r="Q32" s="1">
        <v>-7.6730000000000001E-3</v>
      </c>
      <c r="R32" s="1">
        <v>2.6850000000000001</v>
      </c>
      <c r="S32" s="1">
        <v>7.6730000000000007E-2</v>
      </c>
      <c r="T32" s="1">
        <f t="shared" si="2"/>
        <v>2.6860961436441548</v>
      </c>
      <c r="V32">
        <v>2.0840000000000001E-2</v>
      </c>
      <c r="W32">
        <v>9.81</v>
      </c>
    </row>
    <row r="33" spans="1:23" x14ac:dyDescent="0.3">
      <c r="A33" s="1">
        <v>0.51700000000000002</v>
      </c>
      <c r="B33" s="2">
        <f t="shared" si="0"/>
        <v>-1.0457126460000001E-3</v>
      </c>
      <c r="C33" s="2">
        <f t="shared" si="1"/>
        <v>7.5671342500000016E-2</v>
      </c>
      <c r="D33" s="2">
        <f t="shared" si="3"/>
        <v>7.4625629854000022E-2</v>
      </c>
      <c r="Q33" s="1">
        <v>-5.1149999999999998E-3</v>
      </c>
      <c r="R33" s="1">
        <v>2.6850000000000001</v>
      </c>
      <c r="S33" s="1">
        <v>0.23</v>
      </c>
      <c r="T33" s="1">
        <f t="shared" si="2"/>
        <v>2.694833018945701</v>
      </c>
      <c r="V33">
        <v>2.0840000000000001E-2</v>
      </c>
      <c r="W33">
        <v>9.81</v>
      </c>
    </row>
    <row r="34" spans="1:23" x14ac:dyDescent="0.3">
      <c r="A34" s="1">
        <v>0.53300000000000003</v>
      </c>
      <c r="B34" s="2">
        <f t="shared" si="0"/>
        <v>0</v>
      </c>
      <c r="C34" s="2">
        <f t="shared" si="1"/>
        <v>7.1478918020000018E-2</v>
      </c>
      <c r="D34" s="2">
        <f t="shared" si="3"/>
        <v>7.1478918020000018E-2</v>
      </c>
      <c r="Q34" s="1">
        <v>0</v>
      </c>
      <c r="R34" s="1">
        <v>2.609</v>
      </c>
      <c r="S34" s="1">
        <v>0.23</v>
      </c>
      <c r="T34" s="1">
        <f t="shared" si="2"/>
        <v>2.6191183631138171</v>
      </c>
      <c r="V34">
        <v>2.0840000000000001E-2</v>
      </c>
      <c r="W34">
        <v>9.81</v>
      </c>
    </row>
    <row r="35" spans="1:23" x14ac:dyDescent="0.3">
      <c r="A35" s="1">
        <v>0.55000000000000004</v>
      </c>
      <c r="B35" s="2">
        <f t="shared" si="0"/>
        <v>5.2295854320000008E-4</v>
      </c>
      <c r="C35" s="2">
        <f t="shared" si="1"/>
        <v>7.1171621800000001E-2</v>
      </c>
      <c r="D35" s="2">
        <f t="shared" si="3"/>
        <v>7.1694580343200004E-2</v>
      </c>
      <c r="Q35" s="1">
        <v>2.5579999999999999E-3</v>
      </c>
      <c r="R35" s="1">
        <v>2.609</v>
      </c>
      <c r="S35" s="1">
        <v>0.153</v>
      </c>
      <c r="T35" s="1">
        <f t="shared" si="2"/>
        <v>2.6134823511935181</v>
      </c>
      <c r="V35">
        <v>2.0840000000000001E-2</v>
      </c>
      <c r="W35">
        <v>9.81</v>
      </c>
    </row>
    <row r="36" spans="1:23" x14ac:dyDescent="0.3">
      <c r="A36" s="1">
        <v>0.56699999999999995</v>
      </c>
      <c r="B36" s="2">
        <f t="shared" si="0"/>
        <v>1.0457126460000001E-3</v>
      </c>
      <c r="C36" s="2">
        <f t="shared" si="1"/>
        <v>6.7354088080000013E-2</v>
      </c>
      <c r="D36" s="2">
        <f t="shared" si="3"/>
        <v>6.8399800726000007E-2</v>
      </c>
      <c r="Q36" s="1">
        <v>5.1149999999999998E-3</v>
      </c>
      <c r="R36" s="1">
        <v>2.532</v>
      </c>
      <c r="S36" s="1">
        <v>0.23</v>
      </c>
      <c r="T36" s="1">
        <f t="shared" si="2"/>
        <v>2.5424248268139613</v>
      </c>
      <c r="V36">
        <v>2.0840000000000001E-2</v>
      </c>
      <c r="W36">
        <v>9.81</v>
      </c>
    </row>
    <row r="37" spans="1:23" x14ac:dyDescent="0.3">
      <c r="A37" s="1">
        <v>0.58299999999999996</v>
      </c>
      <c r="B37" s="2">
        <f t="shared" si="0"/>
        <v>2.0914252920000002E-3</v>
      </c>
      <c r="C37" s="2">
        <f t="shared" si="1"/>
        <v>6.7784944659999999E-2</v>
      </c>
      <c r="D37" s="2">
        <f t="shared" si="3"/>
        <v>6.9876369952E-2</v>
      </c>
      <c r="Q37" s="1">
        <v>1.023E-2</v>
      </c>
      <c r="R37" s="1">
        <v>2.532</v>
      </c>
      <c r="S37" s="1">
        <v>0.307</v>
      </c>
      <c r="T37" s="1">
        <f t="shared" si="2"/>
        <v>2.5505436675344337</v>
      </c>
      <c r="V37">
        <v>2.0840000000000001E-2</v>
      </c>
      <c r="W37">
        <v>9.81</v>
      </c>
    </row>
    <row r="38" spans="1:23" x14ac:dyDescent="0.3">
      <c r="A38" s="1">
        <v>0.6</v>
      </c>
      <c r="B38" s="2">
        <f t="shared" si="0"/>
        <v>3.1381601400000004E-3</v>
      </c>
      <c r="C38" s="2">
        <f t="shared" si="1"/>
        <v>6.6729898820000008E-2</v>
      </c>
      <c r="D38" s="2">
        <f t="shared" si="3"/>
        <v>6.9868058960000007E-2</v>
      </c>
      <c r="Q38" s="1">
        <v>1.5350000000000001E-2</v>
      </c>
      <c r="R38" s="1">
        <v>2.4550000000000001</v>
      </c>
      <c r="S38" s="1">
        <v>0.61399999999999999</v>
      </c>
      <c r="T38" s="1">
        <f t="shared" si="2"/>
        <v>2.5306167232514687</v>
      </c>
      <c r="V38">
        <v>2.0840000000000001E-2</v>
      </c>
      <c r="W38">
        <v>9.81</v>
      </c>
    </row>
    <row r="39" spans="1:23" x14ac:dyDescent="0.3">
      <c r="A39" s="1">
        <v>0.61699999999999999</v>
      </c>
      <c r="B39" s="2">
        <f t="shared" si="0"/>
        <v>6.2742758760000001E-3</v>
      </c>
      <c r="C39" s="2">
        <f t="shared" si="1"/>
        <v>7.0731168400000002E-2</v>
      </c>
      <c r="D39" s="2">
        <f t="shared" si="3"/>
        <v>7.7005444276000007E-2</v>
      </c>
      <c r="Q39" s="1">
        <v>3.0689999999999999E-2</v>
      </c>
      <c r="R39" s="1">
        <v>2.532</v>
      </c>
      <c r="S39" s="1">
        <v>0.61399999999999999</v>
      </c>
      <c r="T39" s="1">
        <f t="shared" si="2"/>
        <v>2.6053828893274016</v>
      </c>
      <c r="V39">
        <v>2.0840000000000001E-2</v>
      </c>
      <c r="W39">
        <v>9.81</v>
      </c>
    </row>
    <row r="40" spans="1:23" x14ac:dyDescent="0.3">
      <c r="A40" s="1">
        <v>0.63300000000000001</v>
      </c>
      <c r="B40" s="2">
        <f t="shared" si="0"/>
        <v>7.3210107240000008E-3</v>
      </c>
      <c r="C40" s="2">
        <f t="shared" si="1"/>
        <v>6.1178331219999986E-2</v>
      </c>
      <c r="D40" s="2">
        <f t="shared" si="3"/>
        <v>6.8499341943999981E-2</v>
      </c>
      <c r="Q40" s="1">
        <v>3.5810000000000002E-2</v>
      </c>
      <c r="R40" s="1">
        <v>2.379</v>
      </c>
      <c r="S40" s="1">
        <v>0.46</v>
      </c>
      <c r="T40" s="1">
        <f t="shared" si="2"/>
        <v>2.4230643821409283</v>
      </c>
      <c r="V40">
        <v>2.0840000000000001E-2</v>
      </c>
      <c r="W40">
        <v>9.81</v>
      </c>
    </row>
    <row r="41" spans="1:23" x14ac:dyDescent="0.3">
      <c r="A41" s="1">
        <v>0.65</v>
      </c>
      <c r="B41" s="2">
        <f t="shared" si="0"/>
        <v>9.4124360160000014E-3</v>
      </c>
      <c r="C41" s="2">
        <f t="shared" si="1"/>
        <v>5.7715483880000015E-2</v>
      </c>
      <c r="D41" s="2">
        <f t="shared" si="3"/>
        <v>6.7127919896000018E-2</v>
      </c>
      <c r="Q41" s="1">
        <v>4.6039999999999998E-2</v>
      </c>
      <c r="R41" s="1">
        <v>2.2250000000000001</v>
      </c>
      <c r="S41" s="1">
        <v>0.76700000000000002</v>
      </c>
      <c r="T41" s="1">
        <f t="shared" si="2"/>
        <v>2.3534897492872155</v>
      </c>
      <c r="V41">
        <v>2.0840000000000001E-2</v>
      </c>
      <c r="W41">
        <v>9.81</v>
      </c>
    </row>
    <row r="42" spans="1:23" x14ac:dyDescent="0.3">
      <c r="A42" s="1">
        <v>0.66700000000000004</v>
      </c>
      <c r="B42" s="2">
        <f t="shared" si="0"/>
        <v>1.2548551752E-2</v>
      </c>
      <c r="C42" s="2">
        <f t="shared" si="1"/>
        <v>6.0424183719999996E-2</v>
      </c>
      <c r="D42" s="2">
        <f t="shared" si="3"/>
        <v>7.2972735471999992E-2</v>
      </c>
      <c r="Q42" s="1">
        <v>6.1379999999999997E-2</v>
      </c>
      <c r="R42" s="1">
        <v>2.2250000000000001</v>
      </c>
      <c r="S42" s="1">
        <v>0.92100000000000004</v>
      </c>
      <c r="T42" s="1">
        <f t="shared" si="2"/>
        <v>2.4080834703141001</v>
      </c>
      <c r="V42">
        <v>2.0840000000000001E-2</v>
      </c>
      <c r="W42">
        <v>9.81</v>
      </c>
    </row>
    <row r="43" spans="1:23" x14ac:dyDescent="0.3">
      <c r="A43" s="1">
        <v>0.68300000000000005</v>
      </c>
      <c r="B43" s="2">
        <f t="shared" si="0"/>
        <v>1.5686711892000004E-2</v>
      </c>
      <c r="C43" s="2">
        <f t="shared" si="1"/>
        <v>5.5499420799999998E-2</v>
      </c>
      <c r="D43" s="2">
        <f t="shared" si="3"/>
        <v>7.1186132691999998E-2</v>
      </c>
      <c r="Q43" s="1">
        <v>7.6730000000000007E-2</v>
      </c>
      <c r="R43" s="1">
        <v>2.1480000000000001</v>
      </c>
      <c r="S43" s="1">
        <v>0.84399999999999997</v>
      </c>
      <c r="T43" s="1">
        <f t="shared" si="2"/>
        <v>2.3078648140651565</v>
      </c>
      <c r="V43">
        <v>2.0840000000000001E-2</v>
      </c>
      <c r="W43">
        <v>9.81</v>
      </c>
    </row>
    <row r="44" spans="1:23" x14ac:dyDescent="0.3">
      <c r="A44" s="1">
        <v>0.7</v>
      </c>
      <c r="B44" s="2">
        <f t="shared" si="0"/>
        <v>1.8299460204000004E-2</v>
      </c>
      <c r="C44" s="2">
        <f t="shared" si="1"/>
        <v>5.0864948660000006E-2</v>
      </c>
      <c r="D44" s="2">
        <f t="shared" si="3"/>
        <v>6.9164408864000007E-2</v>
      </c>
      <c r="Q44" s="1">
        <v>8.9510000000000006E-2</v>
      </c>
      <c r="R44" s="1">
        <v>2.0720000000000001</v>
      </c>
      <c r="S44" s="1">
        <v>0.76700000000000002</v>
      </c>
      <c r="T44" s="1">
        <f t="shared" si="2"/>
        <v>2.2094055761674904</v>
      </c>
      <c r="V44">
        <v>2.0840000000000001E-2</v>
      </c>
      <c r="W44">
        <v>9.81</v>
      </c>
    </row>
    <row r="45" spans="1:23" x14ac:dyDescent="0.3">
      <c r="A45" s="1">
        <v>0.71699999999999997</v>
      </c>
      <c r="B45" s="2">
        <f t="shared" si="0"/>
        <v>2.0852920800000001E-2</v>
      </c>
      <c r="C45" s="2">
        <f t="shared" si="1"/>
        <v>4.889440162E-2</v>
      </c>
      <c r="D45" s="2">
        <f t="shared" si="3"/>
        <v>6.9747322420000007E-2</v>
      </c>
      <c r="Q45" s="1">
        <v>0.10199999999999999</v>
      </c>
      <c r="R45" s="1">
        <v>1.9950000000000001</v>
      </c>
      <c r="S45" s="1">
        <v>0.84399999999999997</v>
      </c>
      <c r="T45" s="1">
        <f t="shared" si="2"/>
        <v>2.1661858184375595</v>
      </c>
      <c r="V45">
        <v>2.0840000000000001E-2</v>
      </c>
      <c r="W45">
        <v>9.81</v>
      </c>
    </row>
    <row r="46" spans="1:23" x14ac:dyDescent="0.3">
      <c r="A46" s="1">
        <v>0.73299999999999998</v>
      </c>
      <c r="B46" s="2">
        <f t="shared" si="0"/>
        <v>2.4123967200000002E-2</v>
      </c>
      <c r="C46" s="2">
        <f t="shared" si="1"/>
        <v>4.7170975300000001E-2</v>
      </c>
      <c r="D46" s="2">
        <f t="shared" si="3"/>
        <v>7.12949425E-2</v>
      </c>
      <c r="Q46" s="1">
        <v>0.11799999999999999</v>
      </c>
      <c r="R46" s="1">
        <v>1.9179999999999999</v>
      </c>
      <c r="S46" s="1">
        <v>0.92100000000000004</v>
      </c>
      <c r="T46" s="1">
        <f t="shared" si="2"/>
        <v>2.1276665622225677</v>
      </c>
      <c r="V46">
        <v>2.0840000000000001E-2</v>
      </c>
      <c r="W46">
        <v>9.81</v>
      </c>
    </row>
    <row r="47" spans="1:23" x14ac:dyDescent="0.3">
      <c r="A47" s="1">
        <v>0.75</v>
      </c>
      <c r="B47" s="2">
        <f t="shared" si="0"/>
        <v>2.7190573200000005E-2</v>
      </c>
      <c r="C47" s="2">
        <f t="shared" si="1"/>
        <v>3.85288357E-2</v>
      </c>
      <c r="D47" s="2">
        <f t="shared" si="3"/>
        <v>6.5719408899999998E-2</v>
      </c>
      <c r="Q47" s="1">
        <v>0.13300000000000001</v>
      </c>
      <c r="R47" s="1">
        <v>1.6879999999999999</v>
      </c>
      <c r="S47" s="1">
        <v>0.92100000000000004</v>
      </c>
      <c r="T47" s="1">
        <f t="shared" si="2"/>
        <v>1.9229105543420371</v>
      </c>
      <c r="V47">
        <v>2.0840000000000001E-2</v>
      </c>
      <c r="W47">
        <v>9.81</v>
      </c>
    </row>
    <row r="48" spans="1:23" x14ac:dyDescent="0.3">
      <c r="A48" s="1">
        <v>0.76700000000000002</v>
      </c>
      <c r="B48" s="2">
        <f t="shared" si="0"/>
        <v>3.0257179200000001E-2</v>
      </c>
      <c r="C48" s="2">
        <f t="shared" si="1"/>
        <v>3.7112705600000004E-2</v>
      </c>
      <c r="D48" s="2">
        <f t="shared" si="3"/>
        <v>6.7369884800000002E-2</v>
      </c>
      <c r="Q48" s="1">
        <v>0.14799999999999999</v>
      </c>
      <c r="R48" s="1">
        <v>1.6879999999999999</v>
      </c>
      <c r="S48" s="1">
        <v>0.84399999999999997</v>
      </c>
      <c r="T48" s="1">
        <f t="shared" si="2"/>
        <v>1.8872413730098225</v>
      </c>
      <c r="V48">
        <v>2.0840000000000001E-2</v>
      </c>
      <c r="W48">
        <v>9.81</v>
      </c>
    </row>
    <row r="49" spans="1:23" x14ac:dyDescent="0.3">
      <c r="A49" s="1">
        <v>0.78300000000000003</v>
      </c>
      <c r="B49" s="2">
        <f t="shared" si="0"/>
        <v>3.2914904400000007E-2</v>
      </c>
      <c r="C49" s="2">
        <f t="shared" si="1"/>
        <v>3.3390535720000003E-2</v>
      </c>
      <c r="D49" s="2">
        <f t="shared" si="3"/>
        <v>6.6305440120000003E-2</v>
      </c>
      <c r="Q49" s="1">
        <v>0.161</v>
      </c>
      <c r="R49" s="1">
        <v>1.5349999999999999</v>
      </c>
      <c r="S49" s="1">
        <v>0.92100000000000004</v>
      </c>
      <c r="T49" s="1">
        <f t="shared" si="2"/>
        <v>1.7901022317175073</v>
      </c>
      <c r="V49">
        <v>2.0840000000000001E-2</v>
      </c>
      <c r="W49">
        <v>9.81</v>
      </c>
    </row>
    <row r="50" spans="1:23" x14ac:dyDescent="0.3">
      <c r="A50" s="1">
        <v>0.8</v>
      </c>
      <c r="B50" s="2">
        <f t="shared" si="0"/>
        <v>3.6594831600000002E-2</v>
      </c>
      <c r="C50" s="2">
        <f t="shared" si="1"/>
        <v>2.655700594E-2</v>
      </c>
      <c r="D50" s="2">
        <f t="shared" si="3"/>
        <v>6.3151837540000005E-2</v>
      </c>
      <c r="Q50" s="1">
        <v>0.17899999999999999</v>
      </c>
      <c r="R50" s="1">
        <v>1.304</v>
      </c>
      <c r="S50" s="1">
        <v>0.92100000000000004</v>
      </c>
      <c r="T50" s="1">
        <f t="shared" si="2"/>
        <v>1.5964513772739839</v>
      </c>
      <c r="V50">
        <v>2.0840000000000001E-2</v>
      </c>
      <c r="W50">
        <v>9.81</v>
      </c>
    </row>
    <row r="51" spans="1:23" x14ac:dyDescent="0.3">
      <c r="A51" s="1">
        <v>0.81699999999999995</v>
      </c>
      <c r="B51" s="2">
        <f t="shared" si="0"/>
        <v>3.9252556800000005E-2</v>
      </c>
      <c r="C51" s="2">
        <f t="shared" si="1"/>
        <v>2.8711288840000002E-2</v>
      </c>
      <c r="D51" s="2">
        <f t="shared" si="3"/>
        <v>6.7963845640000006E-2</v>
      </c>
      <c r="Q51" s="1">
        <v>0.192</v>
      </c>
      <c r="R51" s="1">
        <v>1.381</v>
      </c>
      <c r="S51" s="1">
        <v>0.92100000000000004</v>
      </c>
      <c r="T51" s="1">
        <f t="shared" si="2"/>
        <v>1.6599403603744323</v>
      </c>
      <c r="V51">
        <v>2.0840000000000001E-2</v>
      </c>
      <c r="W51">
        <v>9.81</v>
      </c>
    </row>
    <row r="52" spans="1:23" x14ac:dyDescent="0.3">
      <c r="A52" s="1">
        <v>0.83299999999999996</v>
      </c>
      <c r="B52" s="2">
        <f t="shared" si="0"/>
        <v>4.2932484E-2</v>
      </c>
      <c r="C52" s="2">
        <f t="shared" si="1"/>
        <v>3.0230191400000002E-2</v>
      </c>
      <c r="D52" s="2">
        <f t="shared" si="3"/>
        <v>7.3162675400000002E-2</v>
      </c>
      <c r="Q52" s="1">
        <v>0.21</v>
      </c>
      <c r="R52" s="1">
        <v>1.381</v>
      </c>
      <c r="S52" s="1">
        <v>0.997</v>
      </c>
      <c r="T52" s="1">
        <f t="shared" si="2"/>
        <v>1.7032821257795199</v>
      </c>
      <c r="V52">
        <v>2.0840000000000001E-2</v>
      </c>
      <c r="W52">
        <v>9.81</v>
      </c>
    </row>
    <row r="53" spans="1:23" x14ac:dyDescent="0.3">
      <c r="A53" s="1">
        <v>0.85</v>
      </c>
      <c r="B53" s="2">
        <f t="shared" si="0"/>
        <v>4.5999090000000006E-2</v>
      </c>
      <c r="C53" s="2">
        <f t="shared" si="1"/>
        <v>1.594751824E-2</v>
      </c>
      <c r="D53" s="2">
        <f t="shared" si="3"/>
        <v>6.1946608240000006E-2</v>
      </c>
      <c r="Q53" s="1">
        <v>0.22500000000000001</v>
      </c>
      <c r="R53" s="1">
        <v>1.0740000000000001</v>
      </c>
      <c r="S53" s="1">
        <v>0.61399999999999999</v>
      </c>
      <c r="T53" s="1">
        <f t="shared" si="2"/>
        <v>1.2371224676643779</v>
      </c>
      <c r="V53">
        <v>2.0840000000000001E-2</v>
      </c>
      <c r="W53">
        <v>9.81</v>
      </c>
    </row>
    <row r="54" spans="1:23" x14ac:dyDescent="0.3">
      <c r="A54" s="1">
        <v>0.86699999999999999</v>
      </c>
      <c r="B54" s="2">
        <f t="shared" si="0"/>
        <v>4.7021292000000006E-2</v>
      </c>
      <c r="C54" s="2">
        <f t="shared" si="1"/>
        <v>8.33484338E-3</v>
      </c>
      <c r="D54" s="2">
        <f t="shared" si="3"/>
        <v>5.5356135380000004E-2</v>
      </c>
      <c r="Q54" s="1">
        <v>0.23</v>
      </c>
      <c r="R54" s="1">
        <v>0.76700000000000002</v>
      </c>
      <c r="S54" s="1">
        <v>0.46</v>
      </c>
      <c r="T54" s="1">
        <f t="shared" si="2"/>
        <v>0.89436513796100081</v>
      </c>
      <c r="V54">
        <v>2.0840000000000001E-2</v>
      </c>
      <c r="W54">
        <v>9.81</v>
      </c>
    </row>
    <row r="55" spans="1:23" x14ac:dyDescent="0.3">
      <c r="A55" s="1">
        <v>0.88300000000000001</v>
      </c>
      <c r="B55" s="2">
        <f t="shared" si="0"/>
        <v>4.9065696000000006E-2</v>
      </c>
      <c r="C55" s="2">
        <f t="shared" si="1"/>
        <v>1.484508224E-2</v>
      </c>
      <c r="D55" s="2">
        <f t="shared" si="3"/>
        <v>6.3910778240000007E-2</v>
      </c>
      <c r="Q55" s="1">
        <v>0.24</v>
      </c>
      <c r="R55" s="1">
        <v>0.84399999999999997</v>
      </c>
      <c r="S55" s="1">
        <v>0.84399999999999997</v>
      </c>
      <c r="T55" s="1">
        <f t="shared" si="2"/>
        <v>1.1935962466428922</v>
      </c>
      <c r="V55">
        <v>2.0840000000000001E-2</v>
      </c>
      <c r="W55">
        <v>9.81</v>
      </c>
    </row>
    <row r="56" spans="1:23" x14ac:dyDescent="0.3">
      <c r="A56" s="1">
        <v>0.9</v>
      </c>
      <c r="B56" s="2">
        <f t="shared" si="0"/>
        <v>5.2745623200000008E-2</v>
      </c>
      <c r="C56" s="2">
        <f t="shared" si="1"/>
        <v>1.2259942760000002E-2</v>
      </c>
      <c r="D56" s="2">
        <f t="shared" si="3"/>
        <v>6.5005565960000011E-2</v>
      </c>
      <c r="Q56" s="1">
        <v>0.25800000000000001</v>
      </c>
      <c r="R56" s="1">
        <v>0.76700000000000002</v>
      </c>
      <c r="S56" s="1">
        <v>0.76700000000000002</v>
      </c>
      <c r="T56" s="1">
        <f t="shared" si="2"/>
        <v>1.084701802340164</v>
      </c>
      <c r="V56">
        <v>2.0840000000000001E-2</v>
      </c>
      <c r="W56">
        <v>9.81</v>
      </c>
    </row>
    <row r="57" spans="1:23" x14ac:dyDescent="0.3">
      <c r="A57" s="1">
        <v>0.91700000000000004</v>
      </c>
      <c r="B57" s="2">
        <f t="shared" si="0"/>
        <v>5.4381146400000011E-2</v>
      </c>
      <c r="C57" s="2">
        <f t="shared" si="1"/>
        <v>4.4795163199999998E-3</v>
      </c>
      <c r="D57" s="2">
        <f t="shared" si="3"/>
        <v>5.8860662720000012E-2</v>
      </c>
      <c r="Q57" s="1">
        <v>0.26600000000000001</v>
      </c>
      <c r="R57" s="1">
        <v>0.61399999999999999</v>
      </c>
      <c r="S57" s="1">
        <v>0.23</v>
      </c>
      <c r="T57" s="1">
        <f t="shared" si="2"/>
        <v>0.65566454837820842</v>
      </c>
      <c r="V57">
        <v>2.0840000000000001E-2</v>
      </c>
      <c r="W57">
        <v>9.81</v>
      </c>
    </row>
    <row r="58" spans="1:23" x14ac:dyDescent="0.3">
      <c r="A58" s="1">
        <v>0.93300000000000005</v>
      </c>
      <c r="B58" s="2">
        <f t="shared" si="0"/>
        <v>5.4381146400000011E-2</v>
      </c>
      <c r="C58" s="2">
        <f t="shared" si="1"/>
        <v>3.98687956E-3</v>
      </c>
      <c r="D58" s="2">
        <f t="shared" si="3"/>
        <v>5.8368025960000014E-2</v>
      </c>
      <c r="Q58" s="1">
        <v>0.26600000000000001</v>
      </c>
      <c r="R58" s="1">
        <v>0.53700000000000003</v>
      </c>
      <c r="S58" s="1">
        <v>0.307</v>
      </c>
      <c r="T58" s="1">
        <f t="shared" si="2"/>
        <v>0.61856123383218897</v>
      </c>
      <c r="V58">
        <v>2.0840000000000001E-2</v>
      </c>
      <c r="W58">
        <v>9.81</v>
      </c>
    </row>
    <row r="59" spans="1:23" x14ac:dyDescent="0.3">
      <c r="A59" s="1">
        <v>0.95</v>
      </c>
      <c r="B59" s="2">
        <f t="shared" si="0"/>
        <v>5.642555040000001E-2</v>
      </c>
      <c r="C59" s="2">
        <f t="shared" si="1"/>
        <v>3.7413635199999998E-3</v>
      </c>
      <c r="D59" s="2">
        <f t="shared" si="3"/>
        <v>6.0166913920000009E-2</v>
      </c>
      <c r="Q59" s="1">
        <v>0.27600000000000002</v>
      </c>
      <c r="R59" s="1">
        <v>0.46</v>
      </c>
      <c r="S59" s="1">
        <v>0.38400000000000001</v>
      </c>
      <c r="T59" s="1">
        <f t="shared" si="2"/>
        <v>0.59921281695237461</v>
      </c>
      <c r="V59">
        <v>2.0840000000000001E-2</v>
      </c>
      <c r="W59">
        <v>9.81</v>
      </c>
    </row>
    <row r="60" spans="1:23" x14ac:dyDescent="0.3">
      <c r="A60" s="1">
        <v>0.96699999999999997</v>
      </c>
      <c r="B60" s="2">
        <f t="shared" si="0"/>
        <v>5.7038871600000013E-2</v>
      </c>
      <c r="C60" s="2">
        <f t="shared" si="1"/>
        <v>1.5332925799999998E-3</v>
      </c>
      <c r="D60" s="2">
        <f t="shared" si="3"/>
        <v>5.8572164180000011E-2</v>
      </c>
      <c r="Q60" s="1">
        <v>0.27900000000000003</v>
      </c>
      <c r="R60" s="1">
        <v>0.307</v>
      </c>
      <c r="S60" s="1">
        <v>0.23</v>
      </c>
      <c r="T60" s="1">
        <f t="shared" si="2"/>
        <v>0.38360005213763981</v>
      </c>
      <c r="V60">
        <v>2.0840000000000001E-2</v>
      </c>
      <c r="W60">
        <v>9.81</v>
      </c>
    </row>
    <row r="61" spans="1:23" x14ac:dyDescent="0.3">
      <c r="A61" s="1">
        <v>0.98299999999999998</v>
      </c>
      <c r="B61" s="2">
        <f t="shared" si="0"/>
        <v>5.8061073599999999E-2</v>
      </c>
      <c r="C61" s="2">
        <f t="shared" si="1"/>
        <v>3.0526945601799999E-4</v>
      </c>
      <c r="D61" s="2">
        <f t="shared" si="3"/>
        <v>5.8366343056017997E-2</v>
      </c>
      <c r="Q61" s="1">
        <v>0.28399999999999997</v>
      </c>
      <c r="R61" s="1">
        <v>7.6730000000000007E-2</v>
      </c>
      <c r="S61" s="1">
        <v>0.153</v>
      </c>
      <c r="T61" s="1">
        <f t="shared" si="2"/>
        <v>0.17116218303118244</v>
      </c>
      <c r="V61">
        <v>2.0840000000000001E-2</v>
      </c>
      <c r="W61">
        <v>9.81</v>
      </c>
    </row>
    <row r="62" spans="1:23" x14ac:dyDescent="0.3">
      <c r="A62" s="1">
        <v>1</v>
      </c>
      <c r="B62" s="2">
        <f t="shared" si="0"/>
        <v>5.8061073599999999E-2</v>
      </c>
      <c r="C62" s="2">
        <f t="shared" si="1"/>
        <v>3.0526945601799999E-4</v>
      </c>
      <c r="D62" s="2">
        <f t="shared" si="3"/>
        <v>5.8366343056017997E-2</v>
      </c>
      <c r="Q62" s="1">
        <v>0.28399999999999997</v>
      </c>
      <c r="R62" s="1">
        <v>0.153</v>
      </c>
      <c r="S62" s="1">
        <v>-7.6730000000000007E-2</v>
      </c>
      <c r="T62" s="1">
        <f t="shared" si="2"/>
        <v>0.17116218303118244</v>
      </c>
      <c r="V62">
        <v>2.0840000000000001E-2</v>
      </c>
      <c r="W62">
        <v>9.81</v>
      </c>
    </row>
    <row r="63" spans="1:23" x14ac:dyDescent="0.3">
      <c r="A63" s="1">
        <v>1.0169999999999999</v>
      </c>
      <c r="B63" s="2">
        <f t="shared" si="0"/>
        <v>5.744775240000001E-2</v>
      </c>
      <c r="C63" s="2">
        <f t="shared" si="1"/>
        <v>6.1347676018000009E-5</v>
      </c>
      <c r="D63" s="2">
        <f t="shared" si="3"/>
        <v>5.7509100076018012E-2</v>
      </c>
      <c r="Q63" s="1">
        <v>0.28100000000000003</v>
      </c>
      <c r="R63" s="1">
        <v>7.6730000000000007E-2</v>
      </c>
      <c r="S63" s="1">
        <v>0</v>
      </c>
      <c r="T63" s="1">
        <f t="shared" si="2"/>
        <v>7.6730000000000007E-2</v>
      </c>
      <c r="V63">
        <v>2.0840000000000001E-2</v>
      </c>
      <c r="W63">
        <v>9.81</v>
      </c>
    </row>
    <row r="64" spans="1:23" x14ac:dyDescent="0.3">
      <c r="A64" s="1">
        <v>1.0329999999999999</v>
      </c>
      <c r="B64" s="2">
        <f t="shared" si="0"/>
        <v>5.8061073599999999E-2</v>
      </c>
      <c r="C64" s="2">
        <f t="shared" si="1"/>
        <v>5.5121800000000002E-4</v>
      </c>
      <c r="D64" s="2">
        <f t="shared" si="3"/>
        <v>5.8612291599999998E-2</v>
      </c>
      <c r="Q64" s="1">
        <v>0.28399999999999997</v>
      </c>
      <c r="R64" s="1">
        <v>-0.23</v>
      </c>
      <c r="S64" s="1">
        <v>0</v>
      </c>
      <c r="T64" s="1">
        <f t="shared" si="2"/>
        <v>0.23</v>
      </c>
      <c r="V64">
        <v>2.0840000000000001E-2</v>
      </c>
      <c r="W64">
        <v>9.81</v>
      </c>
    </row>
    <row r="65" spans="1:23" x14ac:dyDescent="0.3">
      <c r="A65" s="1">
        <v>1.05</v>
      </c>
      <c r="B65" s="2">
        <f t="shared" si="0"/>
        <v>5.744775240000001E-2</v>
      </c>
      <c r="C65" s="2">
        <f t="shared" si="1"/>
        <v>7.9513978000000018E-4</v>
      </c>
      <c r="D65" s="2">
        <f t="shared" si="3"/>
        <v>5.8242892180000012E-2</v>
      </c>
      <c r="Q65" s="1">
        <v>0.28100000000000003</v>
      </c>
      <c r="R65" s="1">
        <v>-0.153</v>
      </c>
      <c r="S65" s="1">
        <v>-0.23</v>
      </c>
      <c r="T65" s="1">
        <f t="shared" si="2"/>
        <v>0.27624083695210599</v>
      </c>
      <c r="V65">
        <v>2.0840000000000001E-2</v>
      </c>
      <c r="W65">
        <v>9.81</v>
      </c>
    </row>
    <row r="66" spans="1:23" x14ac:dyDescent="0.3">
      <c r="A66" s="1">
        <v>1.0669999999999999</v>
      </c>
      <c r="B66" s="2">
        <f t="shared" si="0"/>
        <v>5.642555040000001E-2</v>
      </c>
      <c r="C66" s="2">
        <f t="shared" si="1"/>
        <v>7.9513978000000018E-4</v>
      </c>
      <c r="D66" s="2">
        <f t="shared" si="3"/>
        <v>5.7220690180000013E-2</v>
      </c>
      <c r="Q66" s="1">
        <v>0.27600000000000002</v>
      </c>
      <c r="R66" s="1">
        <v>-0.23</v>
      </c>
      <c r="S66" s="1">
        <v>-0.153</v>
      </c>
      <c r="T66" s="1">
        <f t="shared" si="2"/>
        <v>0.27624083695210599</v>
      </c>
      <c r="V66">
        <v>2.0840000000000001E-2</v>
      </c>
      <c r="W66">
        <v>9.81</v>
      </c>
    </row>
    <row r="67" spans="1:23" x14ac:dyDescent="0.3">
      <c r="A67" s="1">
        <v>1.083</v>
      </c>
      <c r="B67" s="2">
        <f t="shared" ref="B67:B130" si="4">V67*W67*Q67</f>
        <v>5.642555040000001E-2</v>
      </c>
      <c r="C67" s="2">
        <f t="shared" ref="C67:C130" si="5">(V67*(T67)^(2))/(2)</f>
        <v>1.9641491600000003E-3</v>
      </c>
      <c r="D67" s="2">
        <f t="shared" si="3"/>
        <v>5.8389699560000008E-2</v>
      </c>
      <c r="Q67" s="1">
        <v>0.27600000000000002</v>
      </c>
      <c r="R67" s="1">
        <v>-0.307</v>
      </c>
      <c r="S67" s="1">
        <v>-0.307</v>
      </c>
      <c r="T67" s="1">
        <f t="shared" ref="T67:T130" si="6">SQRT((R67)^(2)+(S67)^(2))</f>
        <v>0.4341635636485402</v>
      </c>
      <c r="V67">
        <v>2.0840000000000001E-2</v>
      </c>
      <c r="W67">
        <v>9.81</v>
      </c>
    </row>
    <row r="68" spans="1:23" x14ac:dyDescent="0.3">
      <c r="A68" s="1">
        <v>1.1000000000000001</v>
      </c>
      <c r="B68" s="2">
        <f t="shared" si="4"/>
        <v>5.4381146400000011E-2</v>
      </c>
      <c r="C68" s="2">
        <f t="shared" si="5"/>
        <v>4.5412965000000008E-3</v>
      </c>
      <c r="D68" s="2">
        <f t="shared" ref="D68:D131" si="7">(B68+C68)</f>
        <v>5.8922442900000011E-2</v>
      </c>
      <c r="Q68" s="1">
        <v>0.26600000000000001</v>
      </c>
      <c r="R68" s="1">
        <v>-0.38400000000000001</v>
      </c>
      <c r="S68" s="1">
        <v>-0.53700000000000003</v>
      </c>
      <c r="T68" s="1">
        <f t="shared" si="6"/>
        <v>0.66017043253996166</v>
      </c>
      <c r="V68">
        <v>2.0840000000000001E-2</v>
      </c>
      <c r="W68">
        <v>9.81</v>
      </c>
    </row>
    <row r="69" spans="1:23" x14ac:dyDescent="0.3">
      <c r="A69" s="1">
        <v>1.117</v>
      </c>
      <c r="B69" s="2">
        <f t="shared" si="4"/>
        <v>5.2745623200000008E-2</v>
      </c>
      <c r="C69" s="2">
        <f t="shared" si="5"/>
        <v>7.1802240199999997E-3</v>
      </c>
      <c r="D69" s="2">
        <f t="shared" si="7"/>
        <v>5.9925847220000009E-2</v>
      </c>
      <c r="Q69" s="1">
        <v>0.25800000000000001</v>
      </c>
      <c r="R69" s="1">
        <v>-0.69099999999999995</v>
      </c>
      <c r="S69" s="1">
        <v>-0.46</v>
      </c>
      <c r="T69" s="1">
        <f t="shared" si="6"/>
        <v>0.83010902898354255</v>
      </c>
      <c r="V69">
        <v>2.0840000000000001E-2</v>
      </c>
      <c r="W69">
        <v>9.81</v>
      </c>
    </row>
    <row r="70" spans="1:23" x14ac:dyDescent="0.3">
      <c r="A70" s="1">
        <v>1.133</v>
      </c>
      <c r="B70" s="2">
        <f t="shared" si="4"/>
        <v>5.1314540400000004E-2</v>
      </c>
      <c r="C70" s="2">
        <f t="shared" si="5"/>
        <v>1.0058269700000001E-2</v>
      </c>
      <c r="D70" s="2">
        <f t="shared" si="7"/>
        <v>6.1372810100000008E-2</v>
      </c>
      <c r="Q70" s="1">
        <v>0.251</v>
      </c>
      <c r="R70" s="1">
        <v>-0.76700000000000002</v>
      </c>
      <c r="S70" s="1">
        <v>-0.61399999999999999</v>
      </c>
      <c r="T70" s="1">
        <f t="shared" si="6"/>
        <v>0.98248918569111998</v>
      </c>
      <c r="V70">
        <v>2.0840000000000001E-2</v>
      </c>
      <c r="W70">
        <v>9.81</v>
      </c>
    </row>
    <row r="71" spans="1:23" x14ac:dyDescent="0.3">
      <c r="A71" s="1">
        <v>1.1499999999999999</v>
      </c>
      <c r="B71" s="2">
        <f t="shared" si="4"/>
        <v>4.8656815200000002E-2</v>
      </c>
      <c r="C71" s="2">
        <f t="shared" si="5"/>
        <v>1.6487545160000002E-2</v>
      </c>
      <c r="D71" s="2">
        <f t="shared" si="7"/>
        <v>6.514436036E-2</v>
      </c>
      <c r="Q71" s="1">
        <v>0.23799999999999999</v>
      </c>
      <c r="R71" s="1">
        <v>-0.997</v>
      </c>
      <c r="S71" s="1">
        <v>-0.76700000000000002</v>
      </c>
      <c r="T71" s="1">
        <f t="shared" si="6"/>
        <v>1.2578942721866573</v>
      </c>
      <c r="V71">
        <v>2.0840000000000001E-2</v>
      </c>
      <c r="W71">
        <v>9.81</v>
      </c>
    </row>
    <row r="72" spans="1:23" x14ac:dyDescent="0.3">
      <c r="A72" s="1">
        <v>1.167</v>
      </c>
      <c r="B72" s="2">
        <f t="shared" si="4"/>
        <v>4.5999090000000006E-2</v>
      </c>
      <c r="C72" s="2">
        <f t="shared" si="5"/>
        <v>1.4968642600000002E-2</v>
      </c>
      <c r="D72" s="2">
        <f t="shared" si="7"/>
        <v>6.0967732600000005E-2</v>
      </c>
      <c r="Q72" s="1">
        <v>0.22500000000000001</v>
      </c>
      <c r="R72" s="1">
        <v>-0.92100000000000004</v>
      </c>
      <c r="S72" s="1">
        <v>-0.76700000000000002</v>
      </c>
      <c r="T72" s="1">
        <f t="shared" si="6"/>
        <v>1.1985532946014541</v>
      </c>
      <c r="V72">
        <v>2.0840000000000001E-2</v>
      </c>
      <c r="W72">
        <v>9.81</v>
      </c>
    </row>
    <row r="73" spans="1:23" x14ac:dyDescent="0.3">
      <c r="A73" s="1">
        <v>1.1830000000000001</v>
      </c>
      <c r="B73" s="2">
        <f t="shared" si="4"/>
        <v>4.3341364800000004E-2</v>
      </c>
      <c r="C73" s="2">
        <f t="shared" si="5"/>
        <v>1.5332925800000001E-2</v>
      </c>
      <c r="D73" s="2">
        <f t="shared" si="7"/>
        <v>5.8674290600000005E-2</v>
      </c>
      <c r="Q73" s="1">
        <v>0.21199999999999999</v>
      </c>
      <c r="R73" s="1">
        <v>-0.997</v>
      </c>
      <c r="S73" s="1">
        <v>-0.69099999999999995</v>
      </c>
      <c r="T73" s="1">
        <f t="shared" si="6"/>
        <v>1.213049875314284</v>
      </c>
      <c r="V73">
        <v>2.0840000000000001E-2</v>
      </c>
      <c r="W73">
        <v>9.81</v>
      </c>
    </row>
    <row r="74" spans="1:23" x14ac:dyDescent="0.3">
      <c r="A74" s="1">
        <v>1.2</v>
      </c>
      <c r="B74" s="2">
        <f t="shared" si="4"/>
        <v>4.1296960800000004E-2</v>
      </c>
      <c r="C74" s="2">
        <f t="shared" si="5"/>
        <v>2.3848306100000004E-2</v>
      </c>
      <c r="D74" s="2">
        <f t="shared" si="7"/>
        <v>6.5145266900000012E-2</v>
      </c>
      <c r="Q74" s="1">
        <v>0.20200000000000001</v>
      </c>
      <c r="R74" s="1">
        <v>-1.304</v>
      </c>
      <c r="S74" s="1">
        <v>-0.76700000000000002</v>
      </c>
      <c r="T74" s="1">
        <f t="shared" si="6"/>
        <v>1.5128466544894761</v>
      </c>
      <c r="V74">
        <v>2.0840000000000001E-2</v>
      </c>
      <c r="W74">
        <v>9.81</v>
      </c>
    </row>
    <row r="75" spans="1:23" x14ac:dyDescent="0.3">
      <c r="A75" s="1">
        <v>1.2170000000000001</v>
      </c>
      <c r="B75" s="2">
        <f t="shared" si="4"/>
        <v>3.8230354800000005E-2</v>
      </c>
      <c r="C75" s="2">
        <f t="shared" si="5"/>
        <v>2.655700594E-2</v>
      </c>
      <c r="D75" s="2">
        <f t="shared" si="7"/>
        <v>6.4787360740000008E-2</v>
      </c>
      <c r="Q75" s="1">
        <v>0.187</v>
      </c>
      <c r="R75" s="1">
        <v>-1.304</v>
      </c>
      <c r="S75" s="1">
        <v>-0.92100000000000004</v>
      </c>
      <c r="T75" s="1">
        <f t="shared" si="6"/>
        <v>1.5964513772739839</v>
      </c>
      <c r="V75">
        <v>2.0840000000000001E-2</v>
      </c>
      <c r="W75">
        <v>9.81</v>
      </c>
    </row>
    <row r="76" spans="1:23" x14ac:dyDescent="0.3">
      <c r="A76" s="1">
        <v>1.2330000000000001</v>
      </c>
      <c r="B76" s="2">
        <f t="shared" si="4"/>
        <v>3.4959308400000007E-2</v>
      </c>
      <c r="C76" s="2">
        <f t="shared" si="5"/>
        <v>2.8711288840000002E-2</v>
      </c>
      <c r="D76" s="2">
        <f t="shared" si="7"/>
        <v>6.3670597240000015E-2</v>
      </c>
      <c r="Q76" s="1">
        <v>0.17100000000000001</v>
      </c>
      <c r="R76" s="1">
        <v>-1.381</v>
      </c>
      <c r="S76" s="1">
        <v>-0.92100000000000004</v>
      </c>
      <c r="T76" s="1">
        <f t="shared" si="6"/>
        <v>1.6599403603744323</v>
      </c>
      <c r="V76">
        <v>2.0840000000000001E-2</v>
      </c>
      <c r="W76">
        <v>9.81</v>
      </c>
    </row>
    <row r="77" spans="1:23" x14ac:dyDescent="0.3">
      <c r="A77" s="1">
        <v>1.25</v>
      </c>
      <c r="B77" s="2">
        <f t="shared" si="4"/>
        <v>3.18927024E-2</v>
      </c>
      <c r="C77" s="2">
        <f t="shared" si="5"/>
        <v>3.2508034659999997E-2</v>
      </c>
      <c r="D77" s="2">
        <f t="shared" si="7"/>
        <v>6.4400737059999991E-2</v>
      </c>
      <c r="Q77" s="1">
        <v>0.156</v>
      </c>
      <c r="R77" s="1">
        <v>-1.458</v>
      </c>
      <c r="S77" s="1">
        <v>-0.997</v>
      </c>
      <c r="T77" s="1">
        <f t="shared" si="6"/>
        <v>1.766287915375067</v>
      </c>
      <c r="V77">
        <v>2.0840000000000001E-2</v>
      </c>
      <c r="W77">
        <v>9.81</v>
      </c>
    </row>
    <row r="78" spans="1:23" x14ac:dyDescent="0.3">
      <c r="A78" s="1">
        <v>1.2669999999999999</v>
      </c>
      <c r="B78" s="2">
        <f t="shared" si="4"/>
        <v>2.8212775200000005E-2</v>
      </c>
      <c r="C78" s="2">
        <f t="shared" si="5"/>
        <v>4.1299315719999993E-2</v>
      </c>
      <c r="D78" s="2">
        <f t="shared" si="7"/>
        <v>6.9512090919999991E-2</v>
      </c>
      <c r="Q78" s="1">
        <v>0.13800000000000001</v>
      </c>
      <c r="R78" s="1">
        <v>-1.7649999999999999</v>
      </c>
      <c r="S78" s="1">
        <v>-0.92100000000000004</v>
      </c>
      <c r="T78" s="1">
        <f t="shared" si="6"/>
        <v>1.9908455490067529</v>
      </c>
      <c r="V78">
        <v>2.0840000000000001E-2</v>
      </c>
      <c r="W78">
        <v>9.81</v>
      </c>
    </row>
    <row r="79" spans="1:23" x14ac:dyDescent="0.3">
      <c r="A79" s="1">
        <v>1.2829999999999999</v>
      </c>
      <c r="B79" s="2">
        <f t="shared" si="4"/>
        <v>2.5555050000000003E-2</v>
      </c>
      <c r="C79" s="2">
        <f t="shared" si="5"/>
        <v>4.1446279400000001E-2</v>
      </c>
      <c r="D79" s="2">
        <f t="shared" si="7"/>
        <v>6.7001329400000004E-2</v>
      </c>
      <c r="Q79" s="1">
        <v>0.125</v>
      </c>
      <c r="R79" s="1">
        <v>-1.841</v>
      </c>
      <c r="S79" s="1">
        <v>-0.76700000000000002</v>
      </c>
      <c r="T79" s="1">
        <f t="shared" si="6"/>
        <v>1.9943846168680703</v>
      </c>
      <c r="V79">
        <v>2.0840000000000001E-2</v>
      </c>
      <c r="W79">
        <v>9.81</v>
      </c>
    </row>
    <row r="80" spans="1:23" x14ac:dyDescent="0.3">
      <c r="A80" s="1">
        <v>1.3</v>
      </c>
      <c r="B80" s="2">
        <f t="shared" si="4"/>
        <v>2.3101765200000002E-2</v>
      </c>
      <c r="C80" s="2">
        <f t="shared" si="5"/>
        <v>4.1299315719999993E-2</v>
      </c>
      <c r="D80" s="2">
        <f t="shared" si="7"/>
        <v>6.4401080919999992E-2</v>
      </c>
      <c r="Q80" s="1">
        <v>0.113</v>
      </c>
      <c r="R80" s="1">
        <v>-1.7649999999999999</v>
      </c>
      <c r="S80" s="1">
        <v>-0.92100000000000004</v>
      </c>
      <c r="T80" s="1">
        <f t="shared" si="6"/>
        <v>1.9908455490067529</v>
      </c>
      <c r="V80">
        <v>2.0840000000000001E-2</v>
      </c>
      <c r="W80">
        <v>9.81</v>
      </c>
    </row>
    <row r="81" spans="1:23" x14ac:dyDescent="0.3">
      <c r="A81" s="1">
        <v>1.3169999999999999</v>
      </c>
      <c r="B81" s="2">
        <f t="shared" si="4"/>
        <v>1.9346195052000002E-2</v>
      </c>
      <c r="C81" s="2">
        <f t="shared" si="5"/>
        <v>5.3573648499999994E-2</v>
      </c>
      <c r="D81" s="2">
        <f t="shared" si="7"/>
        <v>7.2919843551999999E-2</v>
      </c>
      <c r="Q81" s="1">
        <v>9.4630000000000006E-2</v>
      </c>
      <c r="R81" s="1">
        <v>-2.0720000000000001</v>
      </c>
      <c r="S81" s="1">
        <v>-0.92100000000000004</v>
      </c>
      <c r="T81" s="1">
        <f t="shared" si="6"/>
        <v>2.2674710582496966</v>
      </c>
      <c r="V81">
        <v>2.0840000000000001E-2</v>
      </c>
      <c r="W81">
        <v>9.81</v>
      </c>
    </row>
    <row r="82" spans="1:23" x14ac:dyDescent="0.3">
      <c r="A82" s="1">
        <v>1.333</v>
      </c>
      <c r="B82" s="2">
        <f t="shared" si="4"/>
        <v>1.6731402336000002E-2</v>
      </c>
      <c r="C82" s="2">
        <f t="shared" si="5"/>
        <v>5.3052231700000008E-2</v>
      </c>
      <c r="D82" s="2">
        <f t="shared" si="7"/>
        <v>6.9783634036000006E-2</v>
      </c>
      <c r="Q82" s="1">
        <v>8.1839999999999996E-2</v>
      </c>
      <c r="R82" s="1">
        <v>-2.1480000000000001</v>
      </c>
      <c r="S82" s="1">
        <v>-0.69099999999999995</v>
      </c>
      <c r="T82" s="1">
        <f t="shared" si="6"/>
        <v>2.2564097588868917</v>
      </c>
      <c r="V82">
        <v>2.0840000000000001E-2</v>
      </c>
      <c r="W82">
        <v>9.81</v>
      </c>
    </row>
    <row r="83" spans="1:23" x14ac:dyDescent="0.3">
      <c r="A83" s="1">
        <v>1.35</v>
      </c>
      <c r="B83" s="2">
        <f t="shared" si="4"/>
        <v>1.4639977044E-2</v>
      </c>
      <c r="C83" s="2">
        <f t="shared" si="5"/>
        <v>5.1829434280000017E-2</v>
      </c>
      <c r="D83" s="2">
        <f t="shared" si="7"/>
        <v>6.6469411324000013E-2</v>
      </c>
      <c r="Q83" s="1">
        <v>7.1609999999999993E-2</v>
      </c>
      <c r="R83" s="1">
        <v>-1.9950000000000001</v>
      </c>
      <c r="S83" s="1">
        <v>-0.997</v>
      </c>
      <c r="T83" s="1">
        <f t="shared" si="6"/>
        <v>2.2302542455962282</v>
      </c>
      <c r="V83">
        <v>2.0840000000000001E-2</v>
      </c>
      <c r="W83">
        <v>9.81</v>
      </c>
    </row>
    <row r="84" spans="1:23" x14ac:dyDescent="0.3">
      <c r="A84" s="1">
        <v>1.367</v>
      </c>
      <c r="B84" s="2">
        <f t="shared" si="4"/>
        <v>9.9337590360000019E-3</v>
      </c>
      <c r="C84" s="2">
        <f t="shared" si="5"/>
        <v>6.9331032999999986E-2</v>
      </c>
      <c r="D84" s="2">
        <f t="shared" si="7"/>
        <v>7.9264792035999981E-2</v>
      </c>
      <c r="Q84" s="1">
        <v>4.8590000000000001E-2</v>
      </c>
      <c r="R84" s="1">
        <v>-2.379</v>
      </c>
      <c r="S84" s="1">
        <v>-0.997</v>
      </c>
      <c r="T84" s="1">
        <f t="shared" si="6"/>
        <v>2.5794669992073942</v>
      </c>
      <c r="V84">
        <v>2.0840000000000001E-2</v>
      </c>
      <c r="W84">
        <v>9.81</v>
      </c>
    </row>
    <row r="85" spans="1:23" x14ac:dyDescent="0.3">
      <c r="A85" s="1">
        <v>1.383</v>
      </c>
      <c r="B85" s="2">
        <f t="shared" si="4"/>
        <v>7.8423337440000004E-3</v>
      </c>
      <c r="C85" s="2">
        <f t="shared" si="5"/>
        <v>6.6729898820000008E-2</v>
      </c>
      <c r="D85" s="2">
        <f t="shared" si="7"/>
        <v>7.4572232564000002E-2</v>
      </c>
      <c r="Q85" s="1">
        <v>3.8359999999999998E-2</v>
      </c>
      <c r="R85" s="1">
        <v>-2.4550000000000001</v>
      </c>
      <c r="S85" s="1">
        <v>-0.61399999999999999</v>
      </c>
      <c r="T85" s="1">
        <f t="shared" si="6"/>
        <v>2.5306167232514687</v>
      </c>
      <c r="V85">
        <v>2.0840000000000001E-2</v>
      </c>
      <c r="W85">
        <v>9.81</v>
      </c>
    </row>
    <row r="86" spans="1:23" x14ac:dyDescent="0.3">
      <c r="A86" s="1">
        <v>1.4</v>
      </c>
      <c r="B86" s="2">
        <f t="shared" si="4"/>
        <v>5.7509084520000007E-3</v>
      </c>
      <c r="C86" s="2">
        <f t="shared" si="5"/>
        <v>5.200517800000002E-2</v>
      </c>
      <c r="D86" s="2">
        <f t="shared" si="7"/>
        <v>5.7756086452000019E-2</v>
      </c>
      <c r="Q86" s="1">
        <v>2.8129999999999999E-2</v>
      </c>
      <c r="R86" s="1">
        <v>-2.1480000000000001</v>
      </c>
      <c r="S86" s="1">
        <v>-0.61399999999999999</v>
      </c>
      <c r="T86" s="1">
        <f t="shared" si="6"/>
        <v>2.2340322289528416</v>
      </c>
      <c r="V86">
        <v>2.0840000000000001E-2</v>
      </c>
      <c r="W86">
        <v>9.81</v>
      </c>
    </row>
    <row r="87" spans="1:23" x14ac:dyDescent="0.3">
      <c r="A87" s="1">
        <v>1.417</v>
      </c>
      <c r="B87" s="2">
        <f t="shared" si="4"/>
        <v>3.6594831600000001E-3</v>
      </c>
      <c r="C87" s="2">
        <f t="shared" si="5"/>
        <v>6.7776952520000003E-2</v>
      </c>
      <c r="D87" s="2">
        <f t="shared" si="7"/>
        <v>7.1436435680000007E-2</v>
      </c>
      <c r="Q87" s="1">
        <v>1.7899999999999999E-2</v>
      </c>
      <c r="R87" s="1">
        <v>-2.4550000000000001</v>
      </c>
      <c r="S87" s="1">
        <v>-0.69099999999999995</v>
      </c>
      <c r="T87" s="1">
        <f t="shared" si="6"/>
        <v>2.5503933030024997</v>
      </c>
      <c r="V87">
        <v>2.0840000000000001E-2</v>
      </c>
      <c r="W87">
        <v>9.81</v>
      </c>
    </row>
    <row r="88" spans="1:23" x14ac:dyDescent="0.3">
      <c r="A88" s="1">
        <v>1.4330000000000001</v>
      </c>
      <c r="B88" s="2">
        <f t="shared" si="4"/>
        <v>1.0457126460000001E-3</v>
      </c>
      <c r="C88" s="2">
        <f t="shared" si="5"/>
        <v>6.8339361600000009E-2</v>
      </c>
      <c r="D88" s="2">
        <f t="shared" si="7"/>
        <v>6.9385074246000003E-2</v>
      </c>
      <c r="Q88" s="1">
        <v>5.1149999999999998E-3</v>
      </c>
      <c r="R88" s="1">
        <v>-2.532</v>
      </c>
      <c r="S88" s="1">
        <v>-0.38400000000000001</v>
      </c>
      <c r="T88" s="1">
        <f t="shared" si="6"/>
        <v>2.5609529476349229</v>
      </c>
      <c r="V88">
        <v>2.0840000000000001E-2</v>
      </c>
      <c r="W88">
        <v>9.81</v>
      </c>
    </row>
    <row r="89" spans="1:23" x14ac:dyDescent="0.3">
      <c r="A89" s="1">
        <v>1.45</v>
      </c>
      <c r="B89" s="2">
        <f t="shared" si="4"/>
        <v>1.0457126460000001E-3</v>
      </c>
      <c r="C89" s="2">
        <f t="shared" si="5"/>
        <v>8.0041688480000026E-2</v>
      </c>
      <c r="D89" s="2">
        <f t="shared" si="7"/>
        <v>8.1087401126000019E-2</v>
      </c>
      <c r="Q89" s="1">
        <v>5.1149999999999998E-3</v>
      </c>
      <c r="R89" s="1">
        <v>-2.762</v>
      </c>
      <c r="S89" s="1">
        <v>-0.23</v>
      </c>
      <c r="T89" s="1">
        <f t="shared" si="6"/>
        <v>2.7715598496153753</v>
      </c>
      <c r="V89">
        <v>2.0840000000000001E-2</v>
      </c>
      <c r="W89">
        <v>9.81</v>
      </c>
    </row>
    <row r="90" spans="1:23" x14ac:dyDescent="0.3">
      <c r="A90" s="1">
        <v>1.4670000000000001</v>
      </c>
      <c r="B90" s="2">
        <f t="shared" si="4"/>
        <v>-5.2295854320000008E-4</v>
      </c>
      <c r="C90" s="2">
        <f t="shared" si="5"/>
        <v>8.5520868339999973E-2</v>
      </c>
      <c r="D90" s="2">
        <f t="shared" si="7"/>
        <v>8.499790979679997E-2</v>
      </c>
      <c r="Q90" s="1">
        <v>-2.5579999999999999E-3</v>
      </c>
      <c r="R90" s="1">
        <v>-2.839</v>
      </c>
      <c r="S90" s="1">
        <v>-0.38400000000000001</v>
      </c>
      <c r="T90" s="1">
        <f t="shared" si="6"/>
        <v>2.864852003158278</v>
      </c>
      <c r="V90">
        <v>2.0840000000000001E-2</v>
      </c>
      <c r="W90">
        <v>9.81</v>
      </c>
    </row>
    <row r="91" spans="1:23" x14ac:dyDescent="0.3">
      <c r="A91" s="1">
        <v>1.4830000000000001</v>
      </c>
      <c r="B91" s="2">
        <f t="shared" si="4"/>
        <v>-1.5686711892000003E-3</v>
      </c>
      <c r="C91" s="2">
        <f t="shared" si="5"/>
        <v>6.7784944659999999E-2</v>
      </c>
      <c r="D91" s="2">
        <f t="shared" si="7"/>
        <v>6.6216273470800002E-2</v>
      </c>
      <c r="Q91" s="1">
        <v>-7.6730000000000001E-3</v>
      </c>
      <c r="R91" s="1">
        <v>-2.532</v>
      </c>
      <c r="S91" s="1">
        <v>-0.307</v>
      </c>
      <c r="T91" s="1">
        <f t="shared" si="6"/>
        <v>2.5505436675344337</v>
      </c>
      <c r="V91">
        <v>2.0840000000000001E-2</v>
      </c>
      <c r="W91">
        <v>9.81</v>
      </c>
    </row>
    <row r="92" spans="1:23" x14ac:dyDescent="0.3">
      <c r="A92" s="1">
        <v>1.5</v>
      </c>
      <c r="B92" s="2">
        <f t="shared" si="4"/>
        <v>-2.6147927160000001E-3</v>
      </c>
      <c r="C92" s="2">
        <f t="shared" si="5"/>
        <v>7.1171621800000001E-2</v>
      </c>
      <c r="D92" s="2">
        <f t="shared" si="7"/>
        <v>6.8556829084000001E-2</v>
      </c>
      <c r="Q92" s="1">
        <v>-1.2789999999999999E-2</v>
      </c>
      <c r="R92" s="1">
        <v>-2.609</v>
      </c>
      <c r="S92" s="1">
        <v>-0.153</v>
      </c>
      <c r="T92" s="1">
        <f t="shared" si="6"/>
        <v>2.6134823511935181</v>
      </c>
      <c r="V92">
        <v>2.0840000000000001E-2</v>
      </c>
      <c r="W92">
        <v>9.81</v>
      </c>
    </row>
    <row r="93" spans="1:23" x14ac:dyDescent="0.3">
      <c r="A93" s="1">
        <v>1.5169999999999999</v>
      </c>
      <c r="B93" s="2">
        <f t="shared" si="4"/>
        <v>-2.6147927160000001E-3</v>
      </c>
      <c r="C93" s="2">
        <f t="shared" si="5"/>
        <v>7.0989047696018007E-2</v>
      </c>
      <c r="D93" s="2">
        <f t="shared" si="7"/>
        <v>6.8374254980018007E-2</v>
      </c>
      <c r="Q93" s="1">
        <v>-1.2789999999999999E-2</v>
      </c>
      <c r="R93" s="1">
        <v>-2.609</v>
      </c>
      <c r="S93" s="1">
        <v>7.6730000000000007E-2</v>
      </c>
      <c r="T93" s="1">
        <f t="shared" si="6"/>
        <v>2.6101280606322748</v>
      </c>
      <c r="V93">
        <v>2.0840000000000001E-2</v>
      </c>
      <c r="W93">
        <v>9.81</v>
      </c>
    </row>
    <row r="94" spans="1:23" x14ac:dyDescent="0.3">
      <c r="A94" s="1">
        <v>1.5329999999999999</v>
      </c>
      <c r="B94" s="2">
        <f t="shared" si="4"/>
        <v>-2.0914252920000002E-3</v>
      </c>
      <c r="C94" s="2">
        <f t="shared" si="5"/>
        <v>7.5181472176018005E-2</v>
      </c>
      <c r="D94" s="2">
        <f t="shared" si="7"/>
        <v>7.3090046884018003E-2</v>
      </c>
      <c r="Q94" s="1">
        <v>-1.023E-2</v>
      </c>
      <c r="R94" s="1">
        <v>-2.6850000000000001</v>
      </c>
      <c r="S94" s="1">
        <v>-7.6730000000000007E-2</v>
      </c>
      <c r="T94" s="1">
        <f t="shared" si="6"/>
        <v>2.6860961436441548</v>
      </c>
      <c r="V94">
        <v>2.0840000000000001E-2</v>
      </c>
      <c r="W94">
        <v>9.81</v>
      </c>
    </row>
    <row r="95" spans="1:23" x14ac:dyDescent="0.3">
      <c r="A95" s="1">
        <v>1.55</v>
      </c>
      <c r="B95" s="2">
        <f t="shared" si="4"/>
        <v>-3.1381601400000004E-3</v>
      </c>
      <c r="C95" s="2">
        <f t="shared" si="5"/>
        <v>7.9734392260000009E-2</v>
      </c>
      <c r="D95" s="2">
        <f t="shared" si="7"/>
        <v>7.659623212000001E-2</v>
      </c>
      <c r="Q95" s="1">
        <v>-1.5350000000000001E-2</v>
      </c>
      <c r="R95" s="1">
        <v>-2.762</v>
      </c>
      <c r="S95" s="1">
        <v>0.153</v>
      </c>
      <c r="T95" s="1">
        <f t="shared" si="6"/>
        <v>2.766234444149664</v>
      </c>
      <c r="V95">
        <v>2.0840000000000001E-2</v>
      </c>
      <c r="W95">
        <v>9.81</v>
      </c>
    </row>
    <row r="96" spans="1:23" x14ac:dyDescent="0.3">
      <c r="A96" s="1">
        <v>1.5669999999999999</v>
      </c>
      <c r="B96" s="2">
        <f t="shared" si="4"/>
        <v>-1.0457126460000001E-3</v>
      </c>
      <c r="C96" s="2">
        <f t="shared" si="5"/>
        <v>6.8339361600000009E-2</v>
      </c>
      <c r="D96" s="2">
        <f t="shared" si="7"/>
        <v>6.7293648954000015E-2</v>
      </c>
      <c r="Q96" s="1">
        <v>-5.1149999999999998E-3</v>
      </c>
      <c r="R96" s="1">
        <v>-2.532</v>
      </c>
      <c r="S96" s="1">
        <v>0.38400000000000001</v>
      </c>
      <c r="T96" s="1">
        <f t="shared" si="6"/>
        <v>2.5609529476349229</v>
      </c>
      <c r="V96">
        <v>2.0840000000000001E-2</v>
      </c>
      <c r="W96">
        <v>9.81</v>
      </c>
    </row>
    <row r="97" spans="1:23" x14ac:dyDescent="0.3">
      <c r="A97" s="1">
        <v>1.583</v>
      </c>
      <c r="B97" s="2">
        <f t="shared" si="4"/>
        <v>-5.2295854320000008E-4</v>
      </c>
      <c r="C97" s="2">
        <f t="shared" si="5"/>
        <v>7.190977459999999E-2</v>
      </c>
      <c r="D97" s="2">
        <f t="shared" si="7"/>
        <v>7.1386816056799987E-2</v>
      </c>
      <c r="Q97" s="1">
        <v>-2.5579999999999999E-3</v>
      </c>
      <c r="R97" s="1">
        <v>-2.609</v>
      </c>
      <c r="S97" s="1">
        <v>0.307</v>
      </c>
      <c r="T97" s="1">
        <f t="shared" si="6"/>
        <v>2.6270001903311693</v>
      </c>
      <c r="V97">
        <v>2.0840000000000001E-2</v>
      </c>
      <c r="W97">
        <v>9.81</v>
      </c>
    </row>
    <row r="98" spans="1:23" x14ac:dyDescent="0.3">
      <c r="A98" s="1">
        <v>1.6</v>
      </c>
      <c r="B98" s="2">
        <f t="shared" si="4"/>
        <v>1.0457126460000001E-3</v>
      </c>
      <c r="C98" s="2">
        <f t="shared" si="5"/>
        <v>7.3132572019999995E-2</v>
      </c>
      <c r="D98" s="2">
        <f t="shared" si="7"/>
        <v>7.4178284665999988E-2</v>
      </c>
      <c r="Q98" s="1">
        <v>5.1149999999999998E-3</v>
      </c>
      <c r="R98" s="1">
        <v>-2.609</v>
      </c>
      <c r="S98" s="1">
        <v>0.46</v>
      </c>
      <c r="T98" s="1">
        <f t="shared" si="6"/>
        <v>2.6492415895874801</v>
      </c>
      <c r="V98">
        <v>2.0840000000000001E-2</v>
      </c>
      <c r="W98">
        <v>9.81</v>
      </c>
    </row>
    <row r="99" spans="1:23" x14ac:dyDescent="0.3">
      <c r="A99" s="1">
        <v>1.617</v>
      </c>
      <c r="B99" s="2">
        <f t="shared" si="4"/>
        <v>2.6147927160000001E-3</v>
      </c>
      <c r="C99" s="2">
        <f t="shared" si="5"/>
        <v>6.1178331219999986E-2</v>
      </c>
      <c r="D99" s="2">
        <f t="shared" si="7"/>
        <v>6.3793123935999979E-2</v>
      </c>
      <c r="Q99" s="1">
        <v>1.2789999999999999E-2</v>
      </c>
      <c r="R99" s="1">
        <v>-2.379</v>
      </c>
      <c r="S99" s="1">
        <v>0.46</v>
      </c>
      <c r="T99" s="1">
        <f t="shared" si="6"/>
        <v>2.4230643821409283</v>
      </c>
      <c r="V99">
        <v>2.0840000000000001E-2</v>
      </c>
      <c r="W99">
        <v>9.81</v>
      </c>
    </row>
    <row r="100" spans="1:23" x14ac:dyDescent="0.3">
      <c r="A100" s="1">
        <v>1.633</v>
      </c>
      <c r="B100" s="2">
        <f t="shared" si="4"/>
        <v>4.1828505840000004E-3</v>
      </c>
      <c r="C100" s="2">
        <f t="shared" si="5"/>
        <v>6.394881124E-2</v>
      </c>
      <c r="D100" s="2">
        <f t="shared" si="7"/>
        <v>6.8131661824000003E-2</v>
      </c>
      <c r="Q100" s="1">
        <v>2.0459999999999999E-2</v>
      </c>
      <c r="R100" s="1">
        <v>-2.379</v>
      </c>
      <c r="S100" s="1">
        <v>0.69099999999999995</v>
      </c>
      <c r="T100" s="1">
        <f t="shared" si="6"/>
        <v>2.4773215374674318</v>
      </c>
      <c r="V100">
        <v>2.0840000000000001E-2</v>
      </c>
      <c r="W100">
        <v>9.81</v>
      </c>
    </row>
    <row r="101" spans="1:23" x14ac:dyDescent="0.3">
      <c r="A101" s="1">
        <v>1.65</v>
      </c>
      <c r="B101" s="2">
        <f t="shared" si="4"/>
        <v>7.3210107240000008E-3</v>
      </c>
      <c r="C101" s="2">
        <f t="shared" si="5"/>
        <v>5.6560864520000011E-2</v>
      </c>
      <c r="D101" s="2">
        <f t="shared" si="7"/>
        <v>6.3881875244000005E-2</v>
      </c>
      <c r="Q101" s="1">
        <v>3.5810000000000002E-2</v>
      </c>
      <c r="R101" s="1">
        <v>-2.2250000000000001</v>
      </c>
      <c r="S101" s="1">
        <v>0.69099999999999995</v>
      </c>
      <c r="T101" s="1">
        <f t="shared" si="6"/>
        <v>2.3298296075035188</v>
      </c>
      <c r="V101">
        <v>2.0840000000000001E-2</v>
      </c>
      <c r="W101">
        <v>9.81</v>
      </c>
    </row>
    <row r="102" spans="1:23" x14ac:dyDescent="0.3">
      <c r="A102" s="1">
        <v>1.667</v>
      </c>
      <c r="B102" s="2">
        <f t="shared" si="4"/>
        <v>8.8890685920000011E-3</v>
      </c>
      <c r="C102" s="2">
        <f t="shared" si="5"/>
        <v>5.9146004000000009E-2</v>
      </c>
      <c r="D102" s="2">
        <f t="shared" si="7"/>
        <v>6.8035072592000007E-2</v>
      </c>
      <c r="Q102" s="1">
        <v>4.3479999999999998E-2</v>
      </c>
      <c r="R102" s="1">
        <v>-2.302</v>
      </c>
      <c r="S102" s="1">
        <v>0.61399999999999999</v>
      </c>
      <c r="T102" s="1">
        <f t="shared" si="6"/>
        <v>2.3824777018893588</v>
      </c>
      <c r="V102">
        <v>2.0840000000000001E-2</v>
      </c>
      <c r="W102">
        <v>9.81</v>
      </c>
    </row>
    <row r="103" spans="1:23" x14ac:dyDescent="0.3">
      <c r="A103" s="1">
        <v>1.6830000000000001</v>
      </c>
      <c r="B103" s="2">
        <f t="shared" si="4"/>
        <v>1.1503861308000001E-2</v>
      </c>
      <c r="C103" s="2">
        <f t="shared" si="5"/>
        <v>5.5499420799999998E-2</v>
      </c>
      <c r="D103" s="2">
        <f t="shared" si="7"/>
        <v>6.7003282107999995E-2</v>
      </c>
      <c r="Q103" s="1">
        <v>5.6270000000000001E-2</v>
      </c>
      <c r="R103" s="1">
        <v>-2.1480000000000001</v>
      </c>
      <c r="S103" s="1">
        <v>0.84399999999999997</v>
      </c>
      <c r="T103" s="1">
        <f t="shared" si="6"/>
        <v>2.3078648140651565</v>
      </c>
      <c r="V103">
        <v>2.0840000000000001E-2</v>
      </c>
      <c r="W103">
        <v>9.81</v>
      </c>
    </row>
    <row r="104" spans="1:23" x14ac:dyDescent="0.3">
      <c r="A104" s="1">
        <v>1.7</v>
      </c>
      <c r="B104" s="2">
        <f t="shared" si="4"/>
        <v>1.4639977044E-2</v>
      </c>
      <c r="C104" s="2">
        <f t="shared" si="5"/>
        <v>4.8689877860000008E-2</v>
      </c>
      <c r="D104" s="2">
        <f t="shared" si="7"/>
        <v>6.3329854904000005E-2</v>
      </c>
      <c r="Q104" s="1">
        <v>7.1609999999999993E-2</v>
      </c>
      <c r="R104" s="1">
        <v>-1.9179999999999999</v>
      </c>
      <c r="S104" s="1">
        <v>0.997</v>
      </c>
      <c r="T104" s="1">
        <f t="shared" si="6"/>
        <v>2.161650526796596</v>
      </c>
      <c r="V104">
        <v>2.0840000000000001E-2</v>
      </c>
      <c r="W104">
        <v>9.81</v>
      </c>
    </row>
    <row r="105" spans="1:23" x14ac:dyDescent="0.3">
      <c r="A105" s="1">
        <v>1.7170000000000001</v>
      </c>
      <c r="B105" s="2">
        <f t="shared" si="4"/>
        <v>1.8299460204000004E-2</v>
      </c>
      <c r="C105" s="2">
        <f t="shared" si="5"/>
        <v>5.5092551060000015E-2</v>
      </c>
      <c r="D105" s="2">
        <f t="shared" si="7"/>
        <v>7.3392011264000023E-2</v>
      </c>
      <c r="Q105" s="1">
        <v>8.9510000000000006E-2</v>
      </c>
      <c r="R105" s="1">
        <v>-2.0720000000000001</v>
      </c>
      <c r="S105" s="1">
        <v>0.997</v>
      </c>
      <c r="T105" s="1">
        <f t="shared" si="6"/>
        <v>2.2993897016382414</v>
      </c>
      <c r="V105">
        <v>2.0840000000000001E-2</v>
      </c>
      <c r="W105">
        <v>9.81</v>
      </c>
    </row>
    <row r="106" spans="1:23" x14ac:dyDescent="0.3">
      <c r="A106" s="1">
        <v>1.7330000000000001</v>
      </c>
      <c r="B106" s="2">
        <f t="shared" si="4"/>
        <v>2.1466242E-2</v>
      </c>
      <c r="C106" s="2">
        <f t="shared" si="5"/>
        <v>4.5754845200000005E-2</v>
      </c>
      <c r="D106" s="2">
        <f t="shared" si="7"/>
        <v>6.7221087200000001E-2</v>
      </c>
      <c r="Q106" s="1">
        <v>0.105</v>
      </c>
      <c r="R106" s="1">
        <v>-1.9179999999999999</v>
      </c>
      <c r="S106" s="1">
        <v>0.84399999999999997</v>
      </c>
      <c r="T106" s="1">
        <f t="shared" si="6"/>
        <v>2.0954856239067832</v>
      </c>
      <c r="V106">
        <v>2.0840000000000001E-2</v>
      </c>
      <c r="W106">
        <v>9.81</v>
      </c>
    </row>
    <row r="107" spans="1:23" x14ac:dyDescent="0.3">
      <c r="A107" s="1">
        <v>1.75</v>
      </c>
      <c r="B107" s="2">
        <f t="shared" si="4"/>
        <v>2.4123967200000002E-2</v>
      </c>
      <c r="C107" s="2">
        <f t="shared" si="5"/>
        <v>3.7112705600000004E-2</v>
      </c>
      <c r="D107" s="2">
        <f t="shared" si="7"/>
        <v>6.1236672800000003E-2</v>
      </c>
      <c r="Q107" s="1">
        <v>0.11799999999999999</v>
      </c>
      <c r="R107" s="1">
        <v>-1.6879999999999999</v>
      </c>
      <c r="S107" s="1">
        <v>0.84399999999999997</v>
      </c>
      <c r="T107" s="1">
        <f t="shared" si="6"/>
        <v>1.8872413730098225</v>
      </c>
      <c r="V107">
        <v>2.0840000000000001E-2</v>
      </c>
      <c r="W107">
        <v>9.81</v>
      </c>
    </row>
    <row r="108" spans="1:23" x14ac:dyDescent="0.3">
      <c r="A108" s="1">
        <v>1.7669999999999999</v>
      </c>
      <c r="B108" s="2">
        <f t="shared" si="4"/>
        <v>2.7190573200000005E-2</v>
      </c>
      <c r="C108" s="2">
        <f t="shared" si="5"/>
        <v>3.7400818600000003E-2</v>
      </c>
      <c r="D108" s="2">
        <f t="shared" si="7"/>
        <v>6.4591391800000009E-2</v>
      </c>
      <c r="Q108" s="1">
        <v>0.13300000000000001</v>
      </c>
      <c r="R108" s="1">
        <v>-1.611</v>
      </c>
      <c r="S108" s="1">
        <v>0.997</v>
      </c>
      <c r="T108" s="1">
        <f t="shared" si="6"/>
        <v>1.8945527176618759</v>
      </c>
      <c r="V108">
        <v>2.0840000000000001E-2</v>
      </c>
      <c r="W108">
        <v>9.81</v>
      </c>
    </row>
    <row r="109" spans="1:23" x14ac:dyDescent="0.3">
      <c r="A109" s="1">
        <v>1.7829999999999999</v>
      </c>
      <c r="B109" s="2">
        <f t="shared" si="4"/>
        <v>3.0870500400000004E-2</v>
      </c>
      <c r="C109" s="2">
        <f t="shared" si="5"/>
        <v>2.7295158740000002E-2</v>
      </c>
      <c r="D109" s="2">
        <f t="shared" si="7"/>
        <v>5.8165659140000006E-2</v>
      </c>
      <c r="Q109" s="1">
        <v>0.151</v>
      </c>
      <c r="R109" s="1">
        <v>-1.381</v>
      </c>
      <c r="S109" s="1">
        <v>0.84399999999999997</v>
      </c>
      <c r="T109" s="1">
        <f t="shared" si="6"/>
        <v>1.6184860209467364</v>
      </c>
      <c r="V109">
        <v>2.0840000000000001E-2</v>
      </c>
      <c r="W109">
        <v>9.81</v>
      </c>
    </row>
    <row r="110" spans="1:23" x14ac:dyDescent="0.3">
      <c r="A110" s="1">
        <v>1.8</v>
      </c>
      <c r="B110" s="2">
        <f t="shared" si="4"/>
        <v>3.2914904400000007E-2</v>
      </c>
      <c r="C110" s="2">
        <f t="shared" si="5"/>
        <v>1.871799826E-2</v>
      </c>
      <c r="D110" s="2">
        <f t="shared" si="7"/>
        <v>5.1632902660000007E-2</v>
      </c>
      <c r="Q110" s="1">
        <v>0.161</v>
      </c>
      <c r="R110" s="1">
        <v>-1.228</v>
      </c>
      <c r="S110" s="1">
        <v>0.53700000000000003</v>
      </c>
      <c r="T110" s="1">
        <f t="shared" si="6"/>
        <v>1.3402809406986282</v>
      </c>
      <c r="V110">
        <v>2.0840000000000001E-2</v>
      </c>
      <c r="W110">
        <v>9.81</v>
      </c>
    </row>
    <row r="111" spans="1:23" x14ac:dyDescent="0.3">
      <c r="A111" s="1">
        <v>1.8169999999999999</v>
      </c>
      <c r="B111" s="2">
        <f t="shared" si="4"/>
        <v>3.4550427600000003E-2</v>
      </c>
      <c r="C111" s="2">
        <f t="shared" si="5"/>
        <v>2.5140875840000004E-2</v>
      </c>
      <c r="D111" s="2">
        <f t="shared" si="7"/>
        <v>5.969130344000001E-2</v>
      </c>
      <c r="Q111" s="1">
        <v>0.16900000000000001</v>
      </c>
      <c r="R111" s="1">
        <v>-1.304</v>
      </c>
      <c r="S111" s="1">
        <v>0.84399999999999997</v>
      </c>
      <c r="T111" s="1">
        <f t="shared" si="6"/>
        <v>1.5533035762528844</v>
      </c>
      <c r="V111">
        <v>2.0840000000000001E-2</v>
      </c>
      <c r="W111">
        <v>9.81</v>
      </c>
    </row>
    <row r="112" spans="1:23" x14ac:dyDescent="0.3">
      <c r="A112" s="1">
        <v>1.833</v>
      </c>
      <c r="B112" s="2">
        <f t="shared" si="4"/>
        <v>3.8639235600000002E-2</v>
      </c>
      <c r="C112" s="2">
        <f t="shared" si="5"/>
        <v>2.5823646340000003E-2</v>
      </c>
      <c r="D112" s="2">
        <f t="shared" si="7"/>
        <v>6.4462881940000008E-2</v>
      </c>
      <c r="Q112" s="1">
        <v>0.189</v>
      </c>
      <c r="R112" s="1">
        <v>-1.151</v>
      </c>
      <c r="S112" s="1">
        <v>1.0740000000000001</v>
      </c>
      <c r="T112" s="1">
        <f t="shared" si="6"/>
        <v>1.5742544267049086</v>
      </c>
      <c r="V112">
        <v>2.0840000000000001E-2</v>
      </c>
      <c r="W112">
        <v>9.81</v>
      </c>
    </row>
    <row r="113" spans="1:23" x14ac:dyDescent="0.3">
      <c r="A113" s="1">
        <v>1.85</v>
      </c>
      <c r="B113" s="2">
        <f t="shared" si="4"/>
        <v>4.1910282E-2</v>
      </c>
      <c r="C113" s="2">
        <f t="shared" si="5"/>
        <v>1.3814023240000001E-2</v>
      </c>
      <c r="D113" s="2">
        <f t="shared" si="7"/>
        <v>5.5724305240000001E-2</v>
      </c>
      <c r="Q113" s="1">
        <v>0.20499999999999999</v>
      </c>
      <c r="R113" s="1">
        <v>-0.92100000000000004</v>
      </c>
      <c r="S113" s="1">
        <v>0.69099999999999995</v>
      </c>
      <c r="T113" s="1">
        <f t="shared" si="6"/>
        <v>1.151400017370158</v>
      </c>
      <c r="V113">
        <v>2.0840000000000001E-2</v>
      </c>
      <c r="W113">
        <v>9.81</v>
      </c>
    </row>
    <row r="114" spans="1:23" x14ac:dyDescent="0.3">
      <c r="A114" s="1">
        <v>1.867</v>
      </c>
      <c r="B114" s="2">
        <f t="shared" si="4"/>
        <v>4.3341364800000004E-2</v>
      </c>
      <c r="C114" s="2">
        <f t="shared" si="5"/>
        <v>1.0427346100000002E-2</v>
      </c>
      <c r="D114" s="2">
        <f t="shared" si="7"/>
        <v>5.3768710900000002E-2</v>
      </c>
      <c r="Q114" s="1">
        <v>0.21199999999999999</v>
      </c>
      <c r="R114" s="1">
        <v>-0.84399999999999997</v>
      </c>
      <c r="S114" s="1">
        <v>0.53700000000000003</v>
      </c>
      <c r="T114" s="1">
        <f t="shared" si="6"/>
        <v>1.0003524378937656</v>
      </c>
      <c r="V114">
        <v>2.0840000000000001E-2</v>
      </c>
      <c r="W114">
        <v>9.81</v>
      </c>
    </row>
    <row r="115" spans="1:23" x14ac:dyDescent="0.3">
      <c r="A115" s="1">
        <v>1.883</v>
      </c>
      <c r="B115" s="2">
        <f t="shared" si="4"/>
        <v>4.5590209200000002E-2</v>
      </c>
      <c r="C115" s="2">
        <f t="shared" si="5"/>
        <v>1.3552512500000002E-2</v>
      </c>
      <c r="D115" s="2">
        <f t="shared" si="7"/>
        <v>5.9142721700000005E-2</v>
      </c>
      <c r="Q115" s="1">
        <v>0.223</v>
      </c>
      <c r="R115" s="1">
        <v>-0.84399999999999997</v>
      </c>
      <c r="S115" s="1">
        <v>0.76700000000000002</v>
      </c>
      <c r="T115" s="1">
        <f t="shared" si="6"/>
        <v>1.1404494727957044</v>
      </c>
      <c r="V115">
        <v>2.0840000000000001E-2</v>
      </c>
      <c r="W115">
        <v>9.81</v>
      </c>
    </row>
    <row r="116" spans="1:23" x14ac:dyDescent="0.3">
      <c r="A116" s="1">
        <v>1.9</v>
      </c>
      <c r="B116" s="2">
        <f t="shared" si="4"/>
        <v>4.8656815200000002E-2</v>
      </c>
      <c r="C116" s="2">
        <f t="shared" si="5"/>
        <v>9.9507040399999993E-3</v>
      </c>
      <c r="D116" s="2">
        <f t="shared" si="7"/>
        <v>5.8607519240000003E-2</v>
      </c>
      <c r="Q116" s="1">
        <v>0.23799999999999999</v>
      </c>
      <c r="R116" s="1">
        <v>-0.69099999999999995</v>
      </c>
      <c r="S116" s="1">
        <v>0.69099999999999995</v>
      </c>
      <c r="T116" s="1">
        <f t="shared" si="6"/>
        <v>0.9772215715998086</v>
      </c>
      <c r="V116">
        <v>2.0840000000000001E-2</v>
      </c>
      <c r="W116">
        <v>9.81</v>
      </c>
    </row>
    <row r="117" spans="1:23" x14ac:dyDescent="0.3">
      <c r="A117" s="1">
        <v>1.917</v>
      </c>
      <c r="B117" s="2">
        <f t="shared" si="4"/>
        <v>5.0292338400000004E-2</v>
      </c>
      <c r="C117" s="2">
        <f t="shared" si="5"/>
        <v>4.4097440000000002E-3</v>
      </c>
      <c r="D117" s="2">
        <f t="shared" si="7"/>
        <v>5.4702082400000004E-2</v>
      </c>
      <c r="Q117" s="1">
        <v>0.246</v>
      </c>
      <c r="R117" s="1">
        <v>-0.46</v>
      </c>
      <c r="S117" s="1">
        <v>0.46</v>
      </c>
      <c r="T117" s="1">
        <f t="shared" si="6"/>
        <v>0.65053823869162375</v>
      </c>
      <c r="V117">
        <v>2.0840000000000001E-2</v>
      </c>
      <c r="W117">
        <v>9.81</v>
      </c>
    </row>
    <row r="118" spans="1:23" x14ac:dyDescent="0.3">
      <c r="A118" s="1">
        <v>1.9330000000000001</v>
      </c>
      <c r="B118" s="2">
        <f t="shared" si="4"/>
        <v>5.1723421200000008E-2</v>
      </c>
      <c r="C118" s="2">
        <f t="shared" si="5"/>
        <v>3.7413635199999998E-3</v>
      </c>
      <c r="D118" s="2">
        <f t="shared" si="7"/>
        <v>5.5464784720000007E-2</v>
      </c>
      <c r="Q118" s="1">
        <v>0.253</v>
      </c>
      <c r="R118" s="1">
        <v>-0.46</v>
      </c>
      <c r="S118" s="1">
        <v>0.38400000000000001</v>
      </c>
      <c r="T118" s="1">
        <f t="shared" si="6"/>
        <v>0.59921281695237461</v>
      </c>
      <c r="V118">
        <v>2.0840000000000001E-2</v>
      </c>
      <c r="W118">
        <v>9.81</v>
      </c>
    </row>
    <row r="119" spans="1:23" x14ac:dyDescent="0.3">
      <c r="A119" s="1">
        <v>1.95</v>
      </c>
      <c r="B119" s="2">
        <f t="shared" si="4"/>
        <v>5.2745623200000008E-2</v>
      </c>
      <c r="C119" s="2">
        <f t="shared" si="5"/>
        <v>3.5560229800000007E-3</v>
      </c>
      <c r="D119" s="2">
        <f t="shared" si="7"/>
        <v>5.6301646180000012E-2</v>
      </c>
      <c r="Q119" s="1">
        <v>0.25800000000000001</v>
      </c>
      <c r="R119" s="1">
        <v>-0.53700000000000003</v>
      </c>
      <c r="S119" s="1">
        <v>0.23</v>
      </c>
      <c r="T119" s="1">
        <f t="shared" si="6"/>
        <v>0.58418233454975343</v>
      </c>
      <c r="V119">
        <v>2.0840000000000001E-2</v>
      </c>
      <c r="W119">
        <v>9.81</v>
      </c>
    </row>
    <row r="120" spans="1:23" x14ac:dyDescent="0.3">
      <c r="A120" s="1">
        <v>1.9670000000000001</v>
      </c>
      <c r="B120" s="2">
        <f t="shared" si="4"/>
        <v>5.3358944400000011E-2</v>
      </c>
      <c r="C120" s="2">
        <f t="shared" si="5"/>
        <v>2.0877095200000006E-3</v>
      </c>
      <c r="D120" s="2">
        <f t="shared" si="7"/>
        <v>5.5446653920000012E-2</v>
      </c>
      <c r="Q120" s="1">
        <v>0.26100000000000001</v>
      </c>
      <c r="R120" s="1">
        <v>-0.38400000000000001</v>
      </c>
      <c r="S120" s="1">
        <v>0.23</v>
      </c>
      <c r="T120" s="1">
        <f t="shared" si="6"/>
        <v>0.44761143863846914</v>
      </c>
      <c r="V120">
        <v>2.0840000000000001E-2</v>
      </c>
      <c r="W120">
        <v>9.81</v>
      </c>
    </row>
    <row r="121" spans="1:23" x14ac:dyDescent="0.3">
      <c r="A121" s="1">
        <v>1.9830000000000001</v>
      </c>
      <c r="B121" s="2">
        <f t="shared" si="4"/>
        <v>5.4381146400000011E-2</v>
      </c>
      <c r="C121" s="2">
        <f t="shared" si="5"/>
        <v>6.1256567601800007E-4</v>
      </c>
      <c r="D121" s="2">
        <f t="shared" si="7"/>
        <v>5.4993712076018011E-2</v>
      </c>
      <c r="Q121" s="1">
        <v>0.26600000000000001</v>
      </c>
      <c r="R121" s="1">
        <v>-7.6730000000000007E-2</v>
      </c>
      <c r="S121" s="1">
        <v>0.23</v>
      </c>
      <c r="T121" s="1">
        <f t="shared" si="6"/>
        <v>0.2424613224825766</v>
      </c>
      <c r="V121">
        <v>2.0840000000000001E-2</v>
      </c>
      <c r="W121">
        <v>9.81</v>
      </c>
    </row>
    <row r="122" spans="1:23" x14ac:dyDescent="0.3">
      <c r="A122" s="1">
        <v>2</v>
      </c>
      <c r="B122" s="2">
        <f t="shared" si="4"/>
        <v>5.4994467600000006E-2</v>
      </c>
      <c r="C122" s="2">
        <f t="shared" si="5"/>
        <v>3.0526945601799999E-4</v>
      </c>
      <c r="D122" s="2">
        <f t="shared" si="7"/>
        <v>5.5299737056018004E-2</v>
      </c>
      <c r="Q122" s="1">
        <v>0.26900000000000002</v>
      </c>
      <c r="R122" s="1">
        <v>-7.6730000000000007E-2</v>
      </c>
      <c r="S122" s="1">
        <v>0.153</v>
      </c>
      <c r="T122" s="1">
        <f t="shared" si="6"/>
        <v>0.17116218303118244</v>
      </c>
      <c r="V122">
        <v>2.0840000000000001E-2</v>
      </c>
      <c r="W122">
        <v>9.81</v>
      </c>
    </row>
    <row r="123" spans="1:23" x14ac:dyDescent="0.3">
      <c r="A123" s="1">
        <v>2.0169999999999999</v>
      </c>
      <c r="B123" s="2">
        <f t="shared" si="4"/>
        <v>5.540334840000001E-2</v>
      </c>
      <c r="C123" s="2">
        <f t="shared" si="5"/>
        <v>3.0526945601799999E-4</v>
      </c>
      <c r="D123" s="2">
        <f t="shared" si="7"/>
        <v>5.5708617856018008E-2</v>
      </c>
      <c r="Q123" s="1">
        <v>0.27100000000000002</v>
      </c>
      <c r="R123" s="1">
        <v>-7.6730000000000007E-2</v>
      </c>
      <c r="S123" s="1">
        <v>0.153</v>
      </c>
      <c r="T123" s="1">
        <f t="shared" si="6"/>
        <v>0.17116218303118244</v>
      </c>
      <c r="V123">
        <v>2.0840000000000001E-2</v>
      </c>
      <c r="W123">
        <v>9.81</v>
      </c>
    </row>
    <row r="124" spans="1:23" x14ac:dyDescent="0.3">
      <c r="A124" s="1">
        <v>2.0329999999999999</v>
      </c>
      <c r="B124" s="2">
        <f t="shared" si="4"/>
        <v>5.6016669600000013E-2</v>
      </c>
      <c r="C124" s="2">
        <f t="shared" si="5"/>
        <v>3.0526945601799999E-4</v>
      </c>
      <c r="D124" s="2">
        <f t="shared" si="7"/>
        <v>5.6321939056018011E-2</v>
      </c>
      <c r="Q124" s="1">
        <v>0.27400000000000002</v>
      </c>
      <c r="R124" s="1">
        <v>7.6730000000000007E-2</v>
      </c>
      <c r="S124" s="1">
        <v>-0.153</v>
      </c>
      <c r="T124" s="1">
        <f t="shared" si="6"/>
        <v>0.17116218303118244</v>
      </c>
      <c r="V124">
        <v>2.0840000000000001E-2</v>
      </c>
      <c r="W124">
        <v>9.81</v>
      </c>
    </row>
    <row r="125" spans="1:23" x14ac:dyDescent="0.3">
      <c r="A125" s="1">
        <v>2.0499999999999998</v>
      </c>
      <c r="B125" s="2">
        <f t="shared" si="4"/>
        <v>5.4381146400000011E-2</v>
      </c>
      <c r="C125" s="2">
        <f t="shared" si="5"/>
        <v>1.9641491600000003E-3</v>
      </c>
      <c r="D125" s="2">
        <f t="shared" si="7"/>
        <v>5.6345295560000008E-2</v>
      </c>
      <c r="Q125" s="1">
        <v>0.26600000000000001</v>
      </c>
      <c r="R125" s="1">
        <v>0.307</v>
      </c>
      <c r="S125" s="1">
        <v>-0.307</v>
      </c>
      <c r="T125" s="1">
        <f t="shared" si="6"/>
        <v>0.4341635636485402</v>
      </c>
      <c r="V125">
        <v>2.0840000000000001E-2</v>
      </c>
      <c r="W125">
        <v>9.81</v>
      </c>
    </row>
    <row r="126" spans="1:23" x14ac:dyDescent="0.3">
      <c r="A126" s="1">
        <v>2.0670000000000002</v>
      </c>
      <c r="B126" s="2">
        <f t="shared" si="4"/>
        <v>5.3767825200000008E-2</v>
      </c>
      <c r="C126" s="2">
        <f t="shared" si="5"/>
        <v>3.2487267600000008E-3</v>
      </c>
      <c r="D126" s="2">
        <f t="shared" si="7"/>
        <v>5.7016551960000009E-2</v>
      </c>
      <c r="Q126" s="1">
        <v>0.26300000000000001</v>
      </c>
      <c r="R126" s="1">
        <v>0.53700000000000003</v>
      </c>
      <c r="S126" s="1">
        <v>-0.153</v>
      </c>
      <c r="T126" s="1">
        <f t="shared" si="6"/>
        <v>0.55837084451106511</v>
      </c>
      <c r="V126">
        <v>2.0840000000000001E-2</v>
      </c>
      <c r="W126">
        <v>9.81</v>
      </c>
    </row>
    <row r="127" spans="1:23" x14ac:dyDescent="0.3">
      <c r="A127" s="1">
        <v>2.0830000000000002</v>
      </c>
      <c r="B127" s="2">
        <f t="shared" si="4"/>
        <v>5.3358944400000011E-2</v>
      </c>
      <c r="C127" s="2">
        <f t="shared" si="5"/>
        <v>3.5560229800000007E-3</v>
      </c>
      <c r="D127" s="2">
        <f t="shared" si="7"/>
        <v>5.6914967380000014E-2</v>
      </c>
      <c r="Q127" s="1">
        <v>0.26100000000000001</v>
      </c>
      <c r="R127" s="1">
        <v>0.53700000000000003</v>
      </c>
      <c r="S127" s="1">
        <v>-0.23</v>
      </c>
      <c r="T127" s="1">
        <f t="shared" si="6"/>
        <v>0.58418233454975343</v>
      </c>
      <c r="V127">
        <v>2.0840000000000001E-2</v>
      </c>
      <c r="W127">
        <v>9.81</v>
      </c>
    </row>
    <row r="128" spans="1:23" x14ac:dyDescent="0.3">
      <c r="A128" s="1">
        <v>2.1</v>
      </c>
      <c r="B128" s="2">
        <f t="shared" si="4"/>
        <v>5.2336742400000004E-2</v>
      </c>
      <c r="C128" s="2">
        <f t="shared" si="5"/>
        <v>5.2096769800000003E-3</v>
      </c>
      <c r="D128" s="2">
        <f t="shared" si="7"/>
        <v>5.7546419380000005E-2</v>
      </c>
      <c r="Q128" s="1">
        <v>0.25600000000000001</v>
      </c>
      <c r="R128" s="1">
        <v>0.53700000000000003</v>
      </c>
      <c r="S128" s="1">
        <v>-0.46</v>
      </c>
      <c r="T128" s="1">
        <f t="shared" si="6"/>
        <v>0.70708486053655539</v>
      </c>
      <c r="V128">
        <v>2.0840000000000001E-2</v>
      </c>
      <c r="W128">
        <v>9.81</v>
      </c>
    </row>
    <row r="129" spans="1:23" x14ac:dyDescent="0.3">
      <c r="A129" s="1">
        <v>2.117</v>
      </c>
      <c r="B129" s="2">
        <f t="shared" si="4"/>
        <v>5.0292338400000004E-2</v>
      </c>
      <c r="C129" s="2">
        <f t="shared" si="5"/>
        <v>5.2096769800000003E-3</v>
      </c>
      <c r="D129" s="2">
        <f t="shared" si="7"/>
        <v>5.5502015380000005E-2</v>
      </c>
      <c r="Q129" s="1">
        <v>0.246</v>
      </c>
      <c r="R129" s="1">
        <v>0.46</v>
      </c>
      <c r="S129" s="1">
        <v>-0.53700000000000003</v>
      </c>
      <c r="T129" s="1">
        <f t="shared" si="6"/>
        <v>0.70708486053655539</v>
      </c>
      <c r="V129">
        <v>2.0840000000000001E-2</v>
      </c>
      <c r="W129">
        <v>9.81</v>
      </c>
    </row>
    <row r="130" spans="1:23" x14ac:dyDescent="0.3">
      <c r="A130" s="1">
        <v>2.133</v>
      </c>
      <c r="B130" s="2">
        <f t="shared" si="4"/>
        <v>4.8656815200000002E-2</v>
      </c>
      <c r="C130" s="2">
        <f t="shared" si="5"/>
        <v>6.9331033E-3</v>
      </c>
      <c r="D130" s="2">
        <f t="shared" si="7"/>
        <v>5.5589918500000002E-2</v>
      </c>
      <c r="Q130" s="1">
        <v>0.23799999999999999</v>
      </c>
      <c r="R130" s="1">
        <v>0.61399999999999999</v>
      </c>
      <c r="S130" s="1">
        <v>-0.53700000000000003</v>
      </c>
      <c r="T130" s="1">
        <f t="shared" si="6"/>
        <v>0.81569908667351099</v>
      </c>
      <c r="V130">
        <v>2.0840000000000001E-2</v>
      </c>
      <c r="W130">
        <v>9.81</v>
      </c>
    </row>
    <row r="131" spans="1:23" x14ac:dyDescent="0.3">
      <c r="A131" s="1">
        <v>2.15</v>
      </c>
      <c r="B131" s="2">
        <f t="shared" ref="B131:B194" si="8">V131*W131*Q131</f>
        <v>4.6612411200000009E-2</v>
      </c>
      <c r="C131" s="2">
        <f t="shared" ref="C131:C194" si="9">(V131*(T131)^(2))/(2)</f>
        <v>1.3814023240000001E-2</v>
      </c>
      <c r="D131" s="2">
        <f t="shared" si="7"/>
        <v>6.042643444000001E-2</v>
      </c>
      <c r="Q131" s="1">
        <v>0.22800000000000001</v>
      </c>
      <c r="R131" s="1">
        <v>0.92100000000000004</v>
      </c>
      <c r="S131" s="1">
        <v>-0.69099999999999995</v>
      </c>
      <c r="T131" s="1">
        <f t="shared" ref="T131:T194" si="10">SQRT((R131)^(2)+(S131)^(2))</f>
        <v>1.151400017370158</v>
      </c>
      <c r="V131">
        <v>2.0840000000000001E-2</v>
      </c>
      <c r="W131">
        <v>9.81</v>
      </c>
    </row>
    <row r="132" spans="1:23" x14ac:dyDescent="0.3">
      <c r="A132" s="1">
        <v>2.1669999999999998</v>
      </c>
      <c r="B132" s="2">
        <f t="shared" si="8"/>
        <v>4.3954686000000007E-2</v>
      </c>
      <c r="C132" s="2">
        <f t="shared" si="9"/>
        <v>1.2766969539999997E-2</v>
      </c>
      <c r="D132" s="2">
        <f t="shared" ref="D132:D195" si="11">(B132+C132)</f>
        <v>5.6721655540000006E-2</v>
      </c>
      <c r="Q132" s="1">
        <v>0.215</v>
      </c>
      <c r="R132" s="1">
        <v>0.92100000000000004</v>
      </c>
      <c r="S132" s="1">
        <v>-0.61399999999999999</v>
      </c>
      <c r="T132" s="1">
        <f t="shared" si="10"/>
        <v>1.1069042415674446</v>
      </c>
      <c r="V132">
        <v>2.0840000000000001E-2</v>
      </c>
      <c r="W132">
        <v>9.81</v>
      </c>
    </row>
    <row r="133" spans="1:23" x14ac:dyDescent="0.3">
      <c r="A133" s="1">
        <v>2.1829999999999998</v>
      </c>
      <c r="B133" s="2">
        <f t="shared" si="8"/>
        <v>4.2319162800000004E-2</v>
      </c>
      <c r="C133" s="2">
        <f t="shared" si="9"/>
        <v>9.1347763600000027E-3</v>
      </c>
      <c r="D133" s="2">
        <f t="shared" si="11"/>
        <v>5.1453939160000003E-2</v>
      </c>
      <c r="Q133" s="1">
        <v>0.20699999999999999</v>
      </c>
      <c r="R133" s="1">
        <v>0.76700000000000002</v>
      </c>
      <c r="S133" s="1">
        <v>-0.53700000000000003</v>
      </c>
      <c r="T133" s="1">
        <f t="shared" si="10"/>
        <v>0.93630016554521667</v>
      </c>
      <c r="V133">
        <v>2.0840000000000001E-2</v>
      </c>
      <c r="W133">
        <v>9.81</v>
      </c>
    </row>
    <row r="134" spans="1:23" x14ac:dyDescent="0.3">
      <c r="A134" s="1">
        <v>2.2000000000000002</v>
      </c>
      <c r="B134" s="2">
        <f t="shared" si="8"/>
        <v>4.0274758800000005E-2</v>
      </c>
      <c r="C134" s="2">
        <f t="shared" si="9"/>
        <v>1.9196244999999997E-2</v>
      </c>
      <c r="D134" s="2">
        <f t="shared" si="11"/>
        <v>5.9471003800000005E-2</v>
      </c>
      <c r="Q134" s="1">
        <v>0.19700000000000001</v>
      </c>
      <c r="R134" s="1">
        <v>0.997</v>
      </c>
      <c r="S134" s="1">
        <v>-0.92100000000000004</v>
      </c>
      <c r="T134" s="1">
        <f t="shared" si="10"/>
        <v>1.3572951042422572</v>
      </c>
      <c r="V134">
        <v>2.0840000000000001E-2</v>
      </c>
      <c r="W134">
        <v>9.81</v>
      </c>
    </row>
    <row r="135" spans="1:23" x14ac:dyDescent="0.3">
      <c r="A135" s="1">
        <v>2.2170000000000001</v>
      </c>
      <c r="B135" s="2">
        <f t="shared" si="8"/>
        <v>3.59815104E-2</v>
      </c>
      <c r="C135" s="2">
        <f t="shared" si="9"/>
        <v>3.4909438280000003E-2</v>
      </c>
      <c r="D135" s="2">
        <f t="shared" si="11"/>
        <v>7.089094868000001E-2</v>
      </c>
      <c r="Q135" s="1">
        <v>0.17599999999999999</v>
      </c>
      <c r="R135" s="1">
        <v>1.5349999999999999</v>
      </c>
      <c r="S135" s="1">
        <v>-0.997</v>
      </c>
      <c r="T135" s="1">
        <f t="shared" si="10"/>
        <v>1.8303644445847389</v>
      </c>
      <c r="V135">
        <v>2.0840000000000001E-2</v>
      </c>
      <c r="W135">
        <v>9.81</v>
      </c>
    </row>
    <row r="136" spans="1:23" x14ac:dyDescent="0.3">
      <c r="A136" s="1">
        <v>2.2330000000000001</v>
      </c>
      <c r="B136" s="2">
        <f t="shared" si="8"/>
        <v>3.3528225600000003E-2</v>
      </c>
      <c r="C136" s="2">
        <f t="shared" si="9"/>
        <v>2.6002588999999996E-2</v>
      </c>
      <c r="D136" s="2">
        <f t="shared" si="11"/>
        <v>5.9530814599999995E-2</v>
      </c>
      <c r="Q136" s="1">
        <v>0.16400000000000001</v>
      </c>
      <c r="R136" s="1">
        <v>1.381</v>
      </c>
      <c r="S136" s="1">
        <v>-0.76700000000000002</v>
      </c>
      <c r="T136" s="1">
        <f t="shared" si="10"/>
        <v>1.5796993384818516</v>
      </c>
      <c r="V136">
        <v>2.0840000000000001E-2</v>
      </c>
      <c r="W136">
        <v>9.81</v>
      </c>
    </row>
    <row r="137" spans="1:23" x14ac:dyDescent="0.3">
      <c r="A137" s="1">
        <v>2.25</v>
      </c>
      <c r="B137" s="2">
        <f t="shared" si="8"/>
        <v>3.0870500400000004E-2</v>
      </c>
      <c r="C137" s="2">
        <f t="shared" si="9"/>
        <v>2.5140875840000004E-2</v>
      </c>
      <c r="D137" s="2">
        <f t="shared" si="11"/>
        <v>5.6011376240000008E-2</v>
      </c>
      <c r="Q137" s="1">
        <v>0.151</v>
      </c>
      <c r="R137" s="1">
        <v>1.304</v>
      </c>
      <c r="S137" s="1">
        <v>-0.84399999999999997</v>
      </c>
      <c r="T137" s="1">
        <f t="shared" si="10"/>
        <v>1.5533035762528844</v>
      </c>
      <c r="V137">
        <v>2.0840000000000001E-2</v>
      </c>
      <c r="W137">
        <v>9.81</v>
      </c>
    </row>
    <row r="138" spans="1:23" x14ac:dyDescent="0.3">
      <c r="A138" s="1">
        <v>2.2669999999999999</v>
      </c>
      <c r="B138" s="2">
        <f t="shared" si="8"/>
        <v>2.7803894400000004E-2</v>
      </c>
      <c r="C138" s="2">
        <f t="shared" si="9"/>
        <v>3.4665516499999993E-2</v>
      </c>
      <c r="D138" s="2">
        <f t="shared" si="11"/>
        <v>6.2469410899999994E-2</v>
      </c>
      <c r="Q138" s="1">
        <v>0.13600000000000001</v>
      </c>
      <c r="R138" s="1">
        <v>1.6879999999999999</v>
      </c>
      <c r="S138" s="1">
        <v>-0.69099999999999995</v>
      </c>
      <c r="T138" s="1">
        <f t="shared" si="10"/>
        <v>1.8239586069864633</v>
      </c>
      <c r="V138">
        <v>2.0840000000000001E-2</v>
      </c>
      <c r="W138">
        <v>9.81</v>
      </c>
    </row>
    <row r="139" spans="1:23" x14ac:dyDescent="0.3">
      <c r="A139" s="1">
        <v>2.2829999999999999</v>
      </c>
      <c r="B139" s="2">
        <f t="shared" si="8"/>
        <v>2.6168371200000002E-2</v>
      </c>
      <c r="C139" s="2">
        <f t="shared" si="9"/>
        <v>3.7112705600000004E-2</v>
      </c>
      <c r="D139" s="2">
        <f t="shared" si="11"/>
        <v>6.3281076800000002E-2</v>
      </c>
      <c r="Q139" s="1">
        <v>0.128</v>
      </c>
      <c r="R139" s="1">
        <v>1.6879999999999999</v>
      </c>
      <c r="S139" s="1">
        <v>-0.84399999999999997</v>
      </c>
      <c r="T139" s="1">
        <f t="shared" si="10"/>
        <v>1.8872413730098225</v>
      </c>
      <c r="V139">
        <v>2.0840000000000001E-2</v>
      </c>
      <c r="W139">
        <v>9.81</v>
      </c>
    </row>
    <row r="140" spans="1:23" x14ac:dyDescent="0.3">
      <c r="A140" s="1">
        <v>2.2999999999999998</v>
      </c>
      <c r="B140" s="2">
        <f t="shared" si="8"/>
        <v>2.1875122800000001E-2</v>
      </c>
      <c r="C140" s="2">
        <f t="shared" si="9"/>
        <v>3.9062464739999997E-2</v>
      </c>
      <c r="D140" s="2">
        <f t="shared" si="11"/>
        <v>6.0937587539999997E-2</v>
      </c>
      <c r="Q140" s="1">
        <v>0.107</v>
      </c>
      <c r="R140" s="1">
        <v>1.611</v>
      </c>
      <c r="S140" s="1">
        <v>-1.0740000000000001</v>
      </c>
      <c r="T140" s="1">
        <f t="shared" si="10"/>
        <v>1.9361810349241622</v>
      </c>
      <c r="V140">
        <v>2.0840000000000001E-2</v>
      </c>
      <c r="W140">
        <v>9.81</v>
      </c>
    </row>
    <row r="141" spans="1:23" x14ac:dyDescent="0.3">
      <c r="A141" s="1">
        <v>2.3170000000000002</v>
      </c>
      <c r="B141" s="2">
        <f t="shared" si="8"/>
        <v>1.8822827628000003E-2</v>
      </c>
      <c r="C141" s="2">
        <f t="shared" si="9"/>
        <v>4.2738849140000014E-2</v>
      </c>
      <c r="D141" s="2">
        <f t="shared" si="11"/>
        <v>6.156167676800002E-2</v>
      </c>
      <c r="Q141" s="1">
        <v>9.2069999999999999E-2</v>
      </c>
      <c r="R141" s="1">
        <v>1.841</v>
      </c>
      <c r="S141" s="1">
        <v>-0.84399999999999997</v>
      </c>
      <c r="T141" s="1">
        <f t="shared" si="10"/>
        <v>2.0252449234598764</v>
      </c>
      <c r="V141">
        <v>2.0840000000000001E-2</v>
      </c>
      <c r="W141">
        <v>9.81</v>
      </c>
    </row>
    <row r="142" spans="1:23" x14ac:dyDescent="0.3">
      <c r="A142" s="1">
        <v>2.3330000000000002</v>
      </c>
      <c r="B142" s="2">
        <f t="shared" si="8"/>
        <v>1.6208034912000003E-2</v>
      </c>
      <c r="C142" s="2">
        <f t="shared" si="9"/>
        <v>5.2157518399999998E-2</v>
      </c>
      <c r="D142" s="2">
        <f t="shared" si="11"/>
        <v>6.8365553312000005E-2</v>
      </c>
      <c r="Q142" s="1">
        <v>7.9280000000000003E-2</v>
      </c>
      <c r="R142" s="1">
        <v>2.0720000000000001</v>
      </c>
      <c r="S142" s="1">
        <v>-0.84399999999999997</v>
      </c>
      <c r="T142" s="1">
        <f t="shared" si="10"/>
        <v>2.2373019465418609</v>
      </c>
      <c r="V142">
        <v>2.0840000000000001E-2</v>
      </c>
      <c r="W142">
        <v>9.81</v>
      </c>
    </row>
    <row r="143" spans="1:23" x14ac:dyDescent="0.3">
      <c r="A143" s="1">
        <v>2.35</v>
      </c>
      <c r="B143" s="2">
        <f t="shared" si="8"/>
        <v>1.3071919176000001E-2</v>
      </c>
      <c r="C143" s="2">
        <f t="shared" si="9"/>
        <v>5.6915550900000007E-2</v>
      </c>
      <c r="D143" s="2">
        <f t="shared" si="11"/>
        <v>6.9987470076000008E-2</v>
      </c>
      <c r="Q143" s="1">
        <v>6.3939999999999997E-2</v>
      </c>
      <c r="R143" s="1">
        <v>2.1480000000000001</v>
      </c>
      <c r="S143" s="1">
        <v>-0.92100000000000004</v>
      </c>
      <c r="T143" s="1">
        <f t="shared" si="10"/>
        <v>2.3371232316675132</v>
      </c>
      <c r="V143">
        <v>2.0840000000000001E-2</v>
      </c>
      <c r="W143">
        <v>9.81</v>
      </c>
    </row>
    <row r="144" spans="1:23" x14ac:dyDescent="0.3">
      <c r="A144" s="1">
        <v>2.367</v>
      </c>
      <c r="B144" s="2">
        <f t="shared" si="8"/>
        <v>9.9337590360000019E-3</v>
      </c>
      <c r="C144" s="2">
        <f t="shared" si="9"/>
        <v>4.9710329300000015E-2</v>
      </c>
      <c r="D144" s="2">
        <f t="shared" si="11"/>
        <v>5.9644088336000017E-2</v>
      </c>
      <c r="Q144" s="1">
        <v>4.8590000000000001E-2</v>
      </c>
      <c r="R144" s="1">
        <v>2.0720000000000001</v>
      </c>
      <c r="S144" s="1">
        <v>-0.69099999999999995</v>
      </c>
      <c r="T144" s="1">
        <f t="shared" si="10"/>
        <v>2.1841852027701316</v>
      </c>
      <c r="V144">
        <v>2.0840000000000001E-2</v>
      </c>
      <c r="W144">
        <v>9.81</v>
      </c>
    </row>
    <row r="145" spans="1:23" x14ac:dyDescent="0.3">
      <c r="A145" s="1">
        <v>2.383</v>
      </c>
      <c r="B145" s="2">
        <f t="shared" si="8"/>
        <v>8.3657011680000008E-3</v>
      </c>
      <c r="C145" s="2">
        <f t="shared" si="9"/>
        <v>5.5513810820000009E-2</v>
      </c>
      <c r="D145" s="2">
        <f t="shared" si="11"/>
        <v>6.3879511988000015E-2</v>
      </c>
      <c r="Q145" s="1">
        <v>4.0919999999999998E-2</v>
      </c>
      <c r="R145" s="1">
        <v>2.2250000000000001</v>
      </c>
      <c r="S145" s="1">
        <v>-0.61399999999999999</v>
      </c>
      <c r="T145" s="1">
        <f t="shared" si="10"/>
        <v>2.3081639889747869</v>
      </c>
      <c r="V145">
        <v>2.0840000000000001E-2</v>
      </c>
      <c r="W145">
        <v>9.81</v>
      </c>
    </row>
    <row r="146" spans="1:23" x14ac:dyDescent="0.3">
      <c r="A146" s="1">
        <v>2.4</v>
      </c>
      <c r="B146" s="2">
        <f t="shared" si="8"/>
        <v>5.7509084520000007E-3</v>
      </c>
      <c r="C146" s="2">
        <f t="shared" si="9"/>
        <v>6.0193057700000011E-2</v>
      </c>
      <c r="D146" s="2">
        <f t="shared" si="11"/>
        <v>6.5943966152000016E-2</v>
      </c>
      <c r="Q146" s="1">
        <v>2.8129999999999999E-2</v>
      </c>
      <c r="R146" s="1">
        <v>2.302</v>
      </c>
      <c r="S146" s="1">
        <v>-0.69099999999999995</v>
      </c>
      <c r="T146" s="1">
        <f t="shared" si="10"/>
        <v>2.4034735280422792</v>
      </c>
      <c r="V146">
        <v>2.0840000000000001E-2</v>
      </c>
      <c r="W146">
        <v>9.81</v>
      </c>
    </row>
    <row r="147" spans="1:23" x14ac:dyDescent="0.3">
      <c r="A147" s="1">
        <v>2.4169999999999998</v>
      </c>
      <c r="B147" s="2">
        <f t="shared" si="8"/>
        <v>3.6594831600000001E-3</v>
      </c>
      <c r="C147" s="2">
        <f t="shared" si="9"/>
        <v>6.1978264200000001E-2</v>
      </c>
      <c r="D147" s="2">
        <f t="shared" si="11"/>
        <v>6.5637747359999998E-2</v>
      </c>
      <c r="Q147" s="1">
        <v>1.7899999999999999E-2</v>
      </c>
      <c r="R147" s="1">
        <v>2.379</v>
      </c>
      <c r="S147" s="1">
        <v>-0.53700000000000003</v>
      </c>
      <c r="T147" s="1">
        <f t="shared" si="10"/>
        <v>2.4388542391869179</v>
      </c>
      <c r="V147">
        <v>2.0840000000000001E-2</v>
      </c>
      <c r="W147">
        <v>9.81</v>
      </c>
    </row>
    <row r="148" spans="1:23" x14ac:dyDescent="0.3">
      <c r="A148" s="1">
        <v>2.4329999999999998</v>
      </c>
      <c r="B148" s="2">
        <f t="shared" si="8"/>
        <v>2.0914252920000002E-3</v>
      </c>
      <c r="C148" s="2">
        <f t="shared" si="9"/>
        <v>6.4338092020000001E-2</v>
      </c>
      <c r="D148" s="2">
        <f t="shared" si="11"/>
        <v>6.6429517312000003E-2</v>
      </c>
      <c r="Q148" s="1">
        <v>1.023E-2</v>
      </c>
      <c r="R148" s="1">
        <v>2.4550000000000001</v>
      </c>
      <c r="S148" s="1">
        <v>-0.38400000000000001</v>
      </c>
      <c r="T148" s="1">
        <f t="shared" si="10"/>
        <v>2.4848502973016302</v>
      </c>
      <c r="V148">
        <v>2.0840000000000001E-2</v>
      </c>
      <c r="W148">
        <v>9.81</v>
      </c>
    </row>
    <row r="149" spans="1:23" x14ac:dyDescent="0.3">
      <c r="A149" s="1">
        <v>2.4500000000000002</v>
      </c>
      <c r="B149" s="2">
        <f t="shared" si="8"/>
        <v>1.0457126460000001E-3</v>
      </c>
      <c r="C149" s="2">
        <f t="shared" si="9"/>
        <v>6.5006472499999995E-2</v>
      </c>
      <c r="D149" s="2">
        <f t="shared" si="11"/>
        <v>6.6052185145999989E-2</v>
      </c>
      <c r="Q149" s="1">
        <v>5.1149999999999998E-3</v>
      </c>
      <c r="R149" s="1">
        <v>2.4550000000000001</v>
      </c>
      <c r="S149" s="1">
        <v>-0.46</v>
      </c>
      <c r="T149" s="1">
        <f t="shared" si="10"/>
        <v>2.4977239639319633</v>
      </c>
      <c r="V149">
        <v>2.0840000000000001E-2</v>
      </c>
      <c r="W149">
        <v>9.81</v>
      </c>
    </row>
    <row r="150" spans="1:23" x14ac:dyDescent="0.3">
      <c r="A150" s="1">
        <v>2.4670000000000001</v>
      </c>
      <c r="B150" s="2">
        <f t="shared" si="8"/>
        <v>-1.0457126460000001E-3</v>
      </c>
      <c r="C150" s="2">
        <f t="shared" si="9"/>
        <v>7.3132572019999995E-2</v>
      </c>
      <c r="D150" s="2">
        <f t="shared" si="11"/>
        <v>7.2086859374000001E-2</v>
      </c>
      <c r="Q150" s="1">
        <v>-5.1149999999999998E-3</v>
      </c>
      <c r="R150" s="1">
        <v>2.609</v>
      </c>
      <c r="S150" s="1">
        <v>-0.46</v>
      </c>
      <c r="T150" s="1">
        <f t="shared" si="10"/>
        <v>2.6492415895874801</v>
      </c>
      <c r="V150">
        <v>2.0840000000000001E-2</v>
      </c>
      <c r="W150">
        <v>9.81</v>
      </c>
    </row>
    <row r="151" spans="1:23" x14ac:dyDescent="0.3">
      <c r="A151" s="1">
        <v>2.4830000000000001</v>
      </c>
      <c r="B151" s="2">
        <f t="shared" si="8"/>
        <v>-2.0914252920000002E-3</v>
      </c>
      <c r="C151" s="2">
        <f t="shared" si="9"/>
        <v>6.7046791859999996E-2</v>
      </c>
      <c r="D151" s="2">
        <f t="shared" si="11"/>
        <v>6.4955366567999995E-2</v>
      </c>
      <c r="Q151" s="1">
        <v>-1.023E-2</v>
      </c>
      <c r="R151" s="1">
        <v>2.532</v>
      </c>
      <c r="S151" s="1">
        <v>-0.153</v>
      </c>
      <c r="T151" s="1">
        <f t="shared" si="10"/>
        <v>2.5366184182884108</v>
      </c>
      <c r="V151">
        <v>2.0840000000000001E-2</v>
      </c>
      <c r="W151">
        <v>9.81</v>
      </c>
    </row>
    <row r="152" spans="1:23" x14ac:dyDescent="0.3">
      <c r="A152" s="1">
        <v>2.5</v>
      </c>
      <c r="B152" s="2">
        <f t="shared" si="8"/>
        <v>-2.0914252920000002E-3</v>
      </c>
      <c r="C152" s="2">
        <f t="shared" si="9"/>
        <v>6.7046791859999996E-2</v>
      </c>
      <c r="D152" s="2">
        <f t="shared" si="11"/>
        <v>6.4955366567999995E-2</v>
      </c>
      <c r="Q152" s="1">
        <v>-1.023E-2</v>
      </c>
      <c r="R152" s="1">
        <v>2.532</v>
      </c>
      <c r="S152" s="1">
        <v>-0.153</v>
      </c>
      <c r="T152" s="1">
        <f t="shared" si="10"/>
        <v>2.5366184182884108</v>
      </c>
      <c r="V152">
        <v>2.0840000000000001E-2</v>
      </c>
      <c r="W152">
        <v>9.81</v>
      </c>
    </row>
    <row r="153" spans="1:23" x14ac:dyDescent="0.3">
      <c r="A153" s="1">
        <v>2.5169999999999999</v>
      </c>
      <c r="B153" s="2">
        <f t="shared" si="8"/>
        <v>-3.1381601400000004E-3</v>
      </c>
      <c r="C153" s="2">
        <f t="shared" si="9"/>
        <v>7.1171621800000001E-2</v>
      </c>
      <c r="D153" s="2">
        <f t="shared" si="11"/>
        <v>6.8033461660000003E-2</v>
      </c>
      <c r="Q153" s="1">
        <v>-1.5350000000000001E-2</v>
      </c>
      <c r="R153" s="1">
        <v>2.609</v>
      </c>
      <c r="S153" s="1">
        <v>-0.153</v>
      </c>
      <c r="T153" s="1">
        <f t="shared" si="10"/>
        <v>2.6134823511935181</v>
      </c>
      <c r="V153">
        <v>2.0840000000000001E-2</v>
      </c>
      <c r="W153">
        <v>9.81</v>
      </c>
    </row>
    <row r="154" spans="1:23" x14ac:dyDescent="0.3">
      <c r="A154" s="1">
        <v>2.5329999999999999</v>
      </c>
      <c r="B154" s="2">
        <f t="shared" si="8"/>
        <v>-3.1381601400000004E-3</v>
      </c>
      <c r="C154" s="2">
        <f t="shared" si="9"/>
        <v>6.7046791859999996E-2</v>
      </c>
      <c r="D154" s="2">
        <f t="shared" si="11"/>
        <v>6.3908631719999998E-2</v>
      </c>
      <c r="Q154" s="1">
        <v>-1.5350000000000001E-2</v>
      </c>
      <c r="R154" s="1">
        <v>2.532</v>
      </c>
      <c r="S154" s="1">
        <v>0.153</v>
      </c>
      <c r="T154" s="1">
        <f t="shared" si="10"/>
        <v>2.5366184182884108</v>
      </c>
      <c r="V154">
        <v>2.0840000000000001E-2</v>
      </c>
      <c r="W154">
        <v>9.81</v>
      </c>
    </row>
    <row r="155" spans="1:23" x14ac:dyDescent="0.3">
      <c r="A155" s="1">
        <v>2.5499999999999998</v>
      </c>
      <c r="B155" s="2">
        <f t="shared" si="8"/>
        <v>-2.0914252920000002E-3</v>
      </c>
      <c r="C155" s="2">
        <f t="shared" si="9"/>
        <v>7.1478918020000018E-2</v>
      </c>
      <c r="D155" s="2">
        <f t="shared" si="11"/>
        <v>6.9387492728000016E-2</v>
      </c>
      <c r="Q155" s="1">
        <v>-1.023E-2</v>
      </c>
      <c r="R155" s="1">
        <v>2.609</v>
      </c>
      <c r="S155" s="1">
        <v>0.23</v>
      </c>
      <c r="T155" s="1">
        <f t="shared" si="10"/>
        <v>2.6191183631138171</v>
      </c>
      <c r="V155">
        <v>2.0840000000000001E-2</v>
      </c>
      <c r="W155">
        <v>9.81</v>
      </c>
    </row>
    <row r="156" spans="1:23" x14ac:dyDescent="0.3">
      <c r="A156" s="1">
        <v>2.5670000000000002</v>
      </c>
      <c r="B156" s="2">
        <f t="shared" si="8"/>
        <v>-1.5686711892000003E-3</v>
      </c>
      <c r="C156" s="2">
        <f t="shared" si="9"/>
        <v>7.5671342500000016E-2</v>
      </c>
      <c r="D156" s="2">
        <f t="shared" si="11"/>
        <v>7.410267131080002E-2</v>
      </c>
      <c r="Q156" s="1">
        <v>-7.6730000000000001E-3</v>
      </c>
      <c r="R156" s="1">
        <v>2.6850000000000001</v>
      </c>
      <c r="S156" s="1">
        <v>0.23</v>
      </c>
      <c r="T156" s="1">
        <f t="shared" si="10"/>
        <v>2.694833018945701</v>
      </c>
      <c r="V156">
        <v>2.0840000000000001E-2</v>
      </c>
      <c r="W156">
        <v>9.81</v>
      </c>
    </row>
    <row r="157" spans="1:23" x14ac:dyDescent="0.3">
      <c r="A157" s="1">
        <v>2.5830000000000002</v>
      </c>
      <c r="B157" s="2">
        <f t="shared" si="8"/>
        <v>-5.2295854320000008E-4</v>
      </c>
      <c r="C157" s="2">
        <f t="shared" si="9"/>
        <v>6.7784944659999999E-2</v>
      </c>
      <c r="D157" s="2">
        <f t="shared" si="11"/>
        <v>6.7261986116799996E-2</v>
      </c>
      <c r="Q157" s="1">
        <v>-2.5579999999999999E-3</v>
      </c>
      <c r="R157" s="1">
        <v>2.532</v>
      </c>
      <c r="S157" s="1">
        <v>0.307</v>
      </c>
      <c r="T157" s="1">
        <f t="shared" si="10"/>
        <v>2.5505436675344337</v>
      </c>
      <c r="V157">
        <v>2.0840000000000001E-2</v>
      </c>
      <c r="W157">
        <v>9.81</v>
      </c>
    </row>
    <row r="158" spans="1:23" x14ac:dyDescent="0.3">
      <c r="A158" s="1">
        <v>2.6</v>
      </c>
      <c r="B158" s="2">
        <f t="shared" si="8"/>
        <v>5.2295854320000008E-4</v>
      </c>
      <c r="C158" s="2">
        <f t="shared" si="9"/>
        <v>5.6754197200000016E-2</v>
      </c>
      <c r="D158" s="2">
        <f t="shared" si="11"/>
        <v>5.7277155743200019E-2</v>
      </c>
      <c r="Q158" s="1">
        <v>2.5579999999999999E-3</v>
      </c>
      <c r="R158" s="1">
        <v>2.302</v>
      </c>
      <c r="S158" s="1">
        <v>0.38400000000000001</v>
      </c>
      <c r="T158" s="1">
        <f t="shared" si="10"/>
        <v>2.3338080469481635</v>
      </c>
      <c r="V158">
        <v>2.0840000000000001E-2</v>
      </c>
      <c r="W158">
        <v>9.81</v>
      </c>
    </row>
    <row r="159" spans="1:23" x14ac:dyDescent="0.3">
      <c r="A159" s="1">
        <v>2.617</v>
      </c>
      <c r="B159" s="2">
        <f t="shared" si="8"/>
        <v>2.0914252920000002E-3</v>
      </c>
      <c r="C159" s="2">
        <f t="shared" si="9"/>
        <v>6.1978264200000001E-2</v>
      </c>
      <c r="D159" s="2">
        <f t="shared" si="11"/>
        <v>6.4069689491999995E-2</v>
      </c>
      <c r="Q159" s="1">
        <v>1.023E-2</v>
      </c>
      <c r="R159" s="1">
        <v>2.379</v>
      </c>
      <c r="S159" s="1">
        <v>0.53700000000000003</v>
      </c>
      <c r="T159" s="1">
        <f t="shared" si="10"/>
        <v>2.4388542391869179</v>
      </c>
      <c r="V159">
        <v>2.0840000000000001E-2</v>
      </c>
      <c r="W159">
        <v>9.81</v>
      </c>
    </row>
    <row r="160" spans="1:23" x14ac:dyDescent="0.3">
      <c r="A160" s="1">
        <v>2.633</v>
      </c>
      <c r="B160" s="2">
        <f t="shared" si="8"/>
        <v>4.1828505840000004E-3</v>
      </c>
      <c r="C160" s="2">
        <f t="shared" si="9"/>
        <v>6.8931571879999987E-2</v>
      </c>
      <c r="D160" s="2">
        <f t="shared" si="11"/>
        <v>7.311442246399999E-2</v>
      </c>
      <c r="Q160" s="1">
        <v>2.0459999999999999E-2</v>
      </c>
      <c r="R160" s="1">
        <v>2.4550000000000001</v>
      </c>
      <c r="S160" s="1">
        <v>0.76700000000000002</v>
      </c>
      <c r="T160" s="1">
        <f t="shared" si="10"/>
        <v>2.5720252720375822</v>
      </c>
      <c r="V160">
        <v>2.0840000000000001E-2</v>
      </c>
      <c r="W160">
        <v>9.81</v>
      </c>
    </row>
    <row r="161" spans="1:23" x14ac:dyDescent="0.3">
      <c r="A161" s="1">
        <v>2.65</v>
      </c>
      <c r="B161" s="2">
        <f t="shared" si="8"/>
        <v>7.3210107240000008E-3</v>
      </c>
      <c r="C161" s="2">
        <f t="shared" si="9"/>
        <v>7.2932841460000009E-2</v>
      </c>
      <c r="D161" s="2">
        <f t="shared" si="11"/>
        <v>8.025385218400001E-2</v>
      </c>
      <c r="Q161" s="1">
        <v>3.5810000000000002E-2</v>
      </c>
      <c r="R161" s="1">
        <v>2.532</v>
      </c>
      <c r="S161" s="1">
        <v>0.76700000000000002</v>
      </c>
      <c r="T161" s="1">
        <f t="shared" si="10"/>
        <v>2.6456214770824644</v>
      </c>
      <c r="V161">
        <v>2.0840000000000001E-2</v>
      </c>
      <c r="W161">
        <v>9.81</v>
      </c>
    </row>
    <row r="162" spans="1:23" x14ac:dyDescent="0.3">
      <c r="A162" s="1">
        <v>2.6669999999999998</v>
      </c>
      <c r="B162" s="2">
        <f t="shared" si="8"/>
        <v>9.4124360160000014E-3</v>
      </c>
      <c r="C162" s="2">
        <f t="shared" si="9"/>
        <v>5.6560864520000011E-2</v>
      </c>
      <c r="D162" s="2">
        <f t="shared" si="11"/>
        <v>6.5973300536000007E-2</v>
      </c>
      <c r="Q162" s="1">
        <v>4.6039999999999998E-2</v>
      </c>
      <c r="R162" s="1">
        <v>2.2250000000000001</v>
      </c>
      <c r="S162" s="1">
        <v>0.69099999999999995</v>
      </c>
      <c r="T162" s="1">
        <f t="shared" si="10"/>
        <v>2.3298296075035188</v>
      </c>
      <c r="V162">
        <v>2.0840000000000001E-2</v>
      </c>
      <c r="W162">
        <v>9.81</v>
      </c>
    </row>
    <row r="163" spans="1:23" x14ac:dyDescent="0.3">
      <c r="A163" s="1">
        <v>2.6829999999999998</v>
      </c>
      <c r="B163" s="2">
        <f t="shared" si="8"/>
        <v>1.2025184328E-2</v>
      </c>
      <c r="C163" s="2">
        <f t="shared" si="9"/>
        <v>4.1299315719999993E-2</v>
      </c>
      <c r="D163" s="2">
        <f t="shared" si="11"/>
        <v>5.332450004799999E-2</v>
      </c>
      <c r="Q163" s="1">
        <v>5.8819999999999997E-2</v>
      </c>
      <c r="R163" s="1">
        <v>1.7649999999999999</v>
      </c>
      <c r="S163" s="1">
        <v>0.92100000000000004</v>
      </c>
      <c r="T163" s="1">
        <f t="shared" si="10"/>
        <v>1.9908455490067529</v>
      </c>
      <c r="V163">
        <v>2.0840000000000001E-2</v>
      </c>
      <c r="W163">
        <v>9.81</v>
      </c>
    </row>
    <row r="164" spans="1:23" x14ac:dyDescent="0.3">
      <c r="A164" s="1">
        <v>2.7</v>
      </c>
      <c r="B164" s="2">
        <f t="shared" si="8"/>
        <v>1.5686711892000004E-2</v>
      </c>
      <c r="C164" s="2">
        <f t="shared" si="9"/>
        <v>5.349108042000001E-2</v>
      </c>
      <c r="D164" s="2">
        <f t="shared" si="11"/>
        <v>6.9177792312000011E-2</v>
      </c>
      <c r="Q164" s="1">
        <v>7.6730000000000007E-2</v>
      </c>
      <c r="R164" s="1">
        <v>1.9950000000000001</v>
      </c>
      <c r="S164" s="1">
        <v>1.0740000000000001</v>
      </c>
      <c r="T164" s="1">
        <f t="shared" si="10"/>
        <v>2.265723063394995</v>
      </c>
      <c r="V164">
        <v>2.0840000000000001E-2</v>
      </c>
      <c r="W164">
        <v>9.81</v>
      </c>
    </row>
    <row r="165" spans="1:23" x14ac:dyDescent="0.3">
      <c r="A165" s="1">
        <v>2.7170000000000001</v>
      </c>
      <c r="B165" s="2">
        <f t="shared" si="8"/>
        <v>1.9346195052000002E-2</v>
      </c>
      <c r="C165" s="2">
        <f t="shared" si="9"/>
        <v>5.0864948660000006E-2</v>
      </c>
      <c r="D165" s="2">
        <f t="shared" si="11"/>
        <v>7.0211143712000004E-2</v>
      </c>
      <c r="Q165" s="1">
        <v>9.4630000000000006E-2</v>
      </c>
      <c r="R165" s="1">
        <v>2.0720000000000001</v>
      </c>
      <c r="S165" s="1">
        <v>0.76700000000000002</v>
      </c>
      <c r="T165" s="1">
        <f t="shared" si="10"/>
        <v>2.2094055761674904</v>
      </c>
      <c r="V165">
        <v>2.0840000000000001E-2</v>
      </c>
      <c r="W165">
        <v>9.81</v>
      </c>
    </row>
    <row r="166" spans="1:23" x14ac:dyDescent="0.3">
      <c r="A166" s="1">
        <v>2.7330000000000001</v>
      </c>
      <c r="B166" s="2">
        <f t="shared" si="8"/>
        <v>2.0852920800000001E-2</v>
      </c>
      <c r="C166" s="2">
        <f t="shared" si="9"/>
        <v>3.9244606339999995E-2</v>
      </c>
      <c r="D166" s="2">
        <f t="shared" si="11"/>
        <v>6.0097527139999996E-2</v>
      </c>
      <c r="Q166" s="1">
        <v>0.10199999999999999</v>
      </c>
      <c r="R166" s="1">
        <v>1.841</v>
      </c>
      <c r="S166" s="1">
        <v>0.61399999999999999</v>
      </c>
      <c r="T166" s="1">
        <f t="shared" si="10"/>
        <v>1.9406898258093692</v>
      </c>
      <c r="V166">
        <v>2.0840000000000001E-2</v>
      </c>
      <c r="W166">
        <v>9.81</v>
      </c>
    </row>
    <row r="167" spans="1:23" x14ac:dyDescent="0.3">
      <c r="A167" s="1">
        <v>2.75</v>
      </c>
      <c r="B167" s="2">
        <f t="shared" si="8"/>
        <v>2.3510646000000003E-2</v>
      </c>
      <c r="C167" s="2">
        <f t="shared" si="9"/>
        <v>3.7112705600000004E-2</v>
      </c>
      <c r="D167" s="2">
        <f t="shared" si="11"/>
        <v>6.0623351600000007E-2</v>
      </c>
      <c r="Q167" s="1">
        <v>0.115</v>
      </c>
      <c r="R167" s="1">
        <v>1.6879999999999999</v>
      </c>
      <c r="S167" s="1">
        <v>0.84399999999999997</v>
      </c>
      <c r="T167" s="1">
        <f t="shared" si="10"/>
        <v>1.8872413730098225</v>
      </c>
      <c r="V167">
        <v>2.0840000000000001E-2</v>
      </c>
      <c r="W167">
        <v>9.81</v>
      </c>
    </row>
    <row r="168" spans="1:23" x14ac:dyDescent="0.3">
      <c r="A168" s="1">
        <v>2.7669999999999999</v>
      </c>
      <c r="B168" s="2">
        <f t="shared" si="8"/>
        <v>2.6577252000000003E-2</v>
      </c>
      <c r="C168" s="2">
        <f t="shared" si="9"/>
        <v>3.5820135859999998E-2</v>
      </c>
      <c r="D168" s="2">
        <f t="shared" si="11"/>
        <v>6.239738786E-2</v>
      </c>
      <c r="Q168" s="1">
        <v>0.13</v>
      </c>
      <c r="R168" s="1">
        <v>1.6879999999999999</v>
      </c>
      <c r="S168" s="1">
        <v>0.76700000000000002</v>
      </c>
      <c r="T168" s="1">
        <f t="shared" si="10"/>
        <v>1.8540854888596696</v>
      </c>
      <c r="V168">
        <v>2.0840000000000001E-2</v>
      </c>
      <c r="W168">
        <v>9.81</v>
      </c>
    </row>
    <row r="169" spans="1:23" x14ac:dyDescent="0.3">
      <c r="A169" s="1">
        <v>2.7829999999999999</v>
      </c>
      <c r="B169" s="2">
        <f t="shared" si="8"/>
        <v>2.8826096400000001E-2</v>
      </c>
      <c r="C169" s="2">
        <f t="shared" si="9"/>
        <v>3.7112705600000004E-2</v>
      </c>
      <c r="D169" s="2">
        <f t="shared" si="11"/>
        <v>6.5938802000000005E-2</v>
      </c>
      <c r="Q169" s="1">
        <v>0.14099999999999999</v>
      </c>
      <c r="R169" s="1">
        <v>1.6879999999999999</v>
      </c>
      <c r="S169" s="1">
        <v>0.84399999999999997</v>
      </c>
      <c r="T169" s="1">
        <f t="shared" si="10"/>
        <v>1.8872413730098225</v>
      </c>
      <c r="V169">
        <v>2.0840000000000001E-2</v>
      </c>
      <c r="W169">
        <v>9.81</v>
      </c>
    </row>
    <row r="170" spans="1:23" x14ac:dyDescent="0.3">
      <c r="A170" s="1">
        <v>2.8</v>
      </c>
      <c r="B170" s="2">
        <f t="shared" si="8"/>
        <v>3.2506023600000003E-2</v>
      </c>
      <c r="C170" s="2">
        <f t="shared" si="9"/>
        <v>3.09891321E-2</v>
      </c>
      <c r="D170" s="2">
        <f t="shared" si="11"/>
        <v>6.34951557E-2</v>
      </c>
      <c r="Q170" s="1">
        <v>0.159</v>
      </c>
      <c r="R170" s="1">
        <v>1.458</v>
      </c>
      <c r="S170" s="1">
        <v>0.92100000000000004</v>
      </c>
      <c r="T170" s="1">
        <f t="shared" si="10"/>
        <v>1.7245303708546278</v>
      </c>
      <c r="V170">
        <v>2.0840000000000001E-2</v>
      </c>
      <c r="W170">
        <v>9.81</v>
      </c>
    </row>
    <row r="171" spans="1:23" x14ac:dyDescent="0.3">
      <c r="A171" s="1">
        <v>2.8170000000000002</v>
      </c>
      <c r="B171" s="2">
        <f t="shared" si="8"/>
        <v>3.4959308400000007E-2</v>
      </c>
      <c r="C171" s="2">
        <f t="shared" si="9"/>
        <v>2.6002588999999996E-2</v>
      </c>
      <c r="D171" s="2">
        <f t="shared" si="11"/>
        <v>6.0961897400000006E-2</v>
      </c>
      <c r="Q171" s="1">
        <v>0.17100000000000001</v>
      </c>
      <c r="R171" s="1">
        <v>1.381</v>
      </c>
      <c r="S171" s="1">
        <v>0.76700000000000002</v>
      </c>
      <c r="T171" s="1">
        <f t="shared" si="10"/>
        <v>1.5796993384818516</v>
      </c>
      <c r="V171">
        <v>2.0840000000000001E-2</v>
      </c>
      <c r="W171">
        <v>9.81</v>
      </c>
    </row>
    <row r="172" spans="1:23" x14ac:dyDescent="0.3">
      <c r="A172" s="1">
        <v>2.8330000000000002</v>
      </c>
      <c r="B172" s="2">
        <f t="shared" si="8"/>
        <v>3.7617033600000002E-2</v>
      </c>
      <c r="C172" s="2">
        <f t="shared" si="9"/>
        <v>2.655700594E-2</v>
      </c>
      <c r="D172" s="2">
        <f t="shared" si="11"/>
        <v>6.4174039540000005E-2</v>
      </c>
      <c r="Q172" s="1">
        <v>0.184</v>
      </c>
      <c r="R172" s="1">
        <v>1.304</v>
      </c>
      <c r="S172" s="1">
        <v>0.92100000000000004</v>
      </c>
      <c r="T172" s="1">
        <f t="shared" si="10"/>
        <v>1.5964513772739839</v>
      </c>
      <c r="V172">
        <v>2.0840000000000001E-2</v>
      </c>
      <c r="W172">
        <v>9.81</v>
      </c>
    </row>
    <row r="173" spans="1:23" x14ac:dyDescent="0.3">
      <c r="A173" s="1">
        <v>2.85</v>
      </c>
      <c r="B173" s="2">
        <f t="shared" si="8"/>
        <v>4.1296960800000004E-2</v>
      </c>
      <c r="C173" s="2">
        <f t="shared" si="9"/>
        <v>1.9934397800000003E-2</v>
      </c>
      <c r="D173" s="2">
        <f t="shared" si="11"/>
        <v>6.1231358600000008E-2</v>
      </c>
      <c r="Q173" s="1">
        <v>0.20200000000000001</v>
      </c>
      <c r="R173" s="1">
        <v>1.151</v>
      </c>
      <c r="S173" s="1">
        <v>0.76700000000000002</v>
      </c>
      <c r="T173" s="1">
        <f t="shared" si="10"/>
        <v>1.3831449670949174</v>
      </c>
      <c r="V173">
        <v>2.0840000000000001E-2</v>
      </c>
      <c r="W173">
        <v>9.81</v>
      </c>
    </row>
    <row r="174" spans="1:23" x14ac:dyDescent="0.3">
      <c r="A174" s="1">
        <v>2.867</v>
      </c>
      <c r="B174" s="2">
        <f t="shared" si="8"/>
        <v>4.2932484E-2</v>
      </c>
      <c r="C174" s="2">
        <f t="shared" si="9"/>
        <v>1.6809231399999999E-2</v>
      </c>
      <c r="D174" s="2">
        <f t="shared" si="11"/>
        <v>5.9741715399999999E-2</v>
      </c>
      <c r="Q174" s="1">
        <v>0.21</v>
      </c>
      <c r="R174" s="1">
        <v>1.151</v>
      </c>
      <c r="S174" s="1">
        <v>0.53700000000000003</v>
      </c>
      <c r="T174" s="1">
        <f t="shared" si="10"/>
        <v>1.2701062947643398</v>
      </c>
      <c r="V174">
        <v>2.0840000000000001E-2</v>
      </c>
      <c r="W174">
        <v>9.81</v>
      </c>
    </row>
    <row r="175" spans="1:23" x14ac:dyDescent="0.3">
      <c r="A175" s="1">
        <v>2.883</v>
      </c>
      <c r="B175" s="2">
        <f t="shared" si="8"/>
        <v>4.4976888000000007E-2</v>
      </c>
      <c r="C175" s="2">
        <f t="shared" si="9"/>
        <v>1.3814023240000001E-2</v>
      </c>
      <c r="D175" s="2">
        <f t="shared" si="11"/>
        <v>5.8790911240000007E-2</v>
      </c>
      <c r="Q175" s="1">
        <v>0.22</v>
      </c>
      <c r="R175" s="1">
        <v>0.92100000000000004</v>
      </c>
      <c r="S175" s="1">
        <v>0.69099999999999995</v>
      </c>
      <c r="T175" s="1">
        <f t="shared" si="10"/>
        <v>1.151400017370158</v>
      </c>
      <c r="V175">
        <v>2.0840000000000001E-2</v>
      </c>
      <c r="W175">
        <v>9.81</v>
      </c>
    </row>
    <row r="176" spans="1:23" x14ac:dyDescent="0.3">
      <c r="A176" s="1">
        <v>2.9</v>
      </c>
      <c r="B176" s="2">
        <f t="shared" si="8"/>
        <v>4.7634613200000009E-2</v>
      </c>
      <c r="C176" s="2">
        <f t="shared" si="9"/>
        <v>1.1105323400000004E-2</v>
      </c>
      <c r="D176" s="2">
        <f t="shared" si="11"/>
        <v>5.8739936600000014E-2</v>
      </c>
      <c r="Q176" s="1">
        <v>0.23300000000000001</v>
      </c>
      <c r="R176" s="1">
        <v>0.69099999999999995</v>
      </c>
      <c r="S176" s="1">
        <v>0.76700000000000002</v>
      </c>
      <c r="T176" s="1">
        <f t="shared" si="10"/>
        <v>1.0323613708387196</v>
      </c>
      <c r="V176">
        <v>2.0840000000000001E-2</v>
      </c>
      <c r="W176">
        <v>9.81</v>
      </c>
    </row>
    <row r="177" spans="1:23" x14ac:dyDescent="0.3">
      <c r="A177" s="1">
        <v>2.9169999999999998</v>
      </c>
      <c r="B177" s="2">
        <f t="shared" si="8"/>
        <v>5.0292338400000004E-2</v>
      </c>
      <c r="C177" s="2">
        <f t="shared" si="9"/>
        <v>6.9331033E-3</v>
      </c>
      <c r="D177" s="2">
        <f t="shared" si="11"/>
        <v>5.7225441700000004E-2</v>
      </c>
      <c r="Q177" s="1">
        <v>0.246</v>
      </c>
      <c r="R177" s="1">
        <v>0.61399999999999999</v>
      </c>
      <c r="S177" s="1">
        <v>0.53700000000000003</v>
      </c>
      <c r="T177" s="1">
        <f t="shared" si="10"/>
        <v>0.81569908667351099</v>
      </c>
      <c r="V177">
        <v>2.0840000000000001E-2</v>
      </c>
      <c r="W177">
        <v>9.81</v>
      </c>
    </row>
    <row r="178" spans="1:23" x14ac:dyDescent="0.3">
      <c r="A178" s="1">
        <v>2.9329999999999998</v>
      </c>
      <c r="B178" s="2">
        <f t="shared" si="8"/>
        <v>5.1314540400000004E-2</v>
      </c>
      <c r="C178" s="2">
        <f t="shared" si="9"/>
        <v>3.98687956E-3</v>
      </c>
      <c r="D178" s="2">
        <f t="shared" si="11"/>
        <v>5.5301419960000001E-2</v>
      </c>
      <c r="Q178" s="1">
        <v>0.251</v>
      </c>
      <c r="R178" s="1">
        <v>0.53700000000000003</v>
      </c>
      <c r="S178" s="1">
        <v>0.307</v>
      </c>
      <c r="T178" s="1">
        <f t="shared" si="10"/>
        <v>0.61856123383218897</v>
      </c>
      <c r="V178">
        <v>2.0840000000000001E-2</v>
      </c>
      <c r="W178">
        <v>9.81</v>
      </c>
    </row>
    <row r="179" spans="1:23" x14ac:dyDescent="0.3">
      <c r="A179" s="1">
        <v>2.95</v>
      </c>
      <c r="B179" s="2">
        <f t="shared" si="8"/>
        <v>5.2336742400000004E-2</v>
      </c>
      <c r="C179" s="2">
        <f t="shared" si="9"/>
        <v>4.4097440000000002E-3</v>
      </c>
      <c r="D179" s="2">
        <f t="shared" si="11"/>
        <v>5.6746486400000004E-2</v>
      </c>
      <c r="Q179" s="1">
        <v>0.25600000000000001</v>
      </c>
      <c r="R179" s="1">
        <v>0.46</v>
      </c>
      <c r="S179" s="1">
        <v>0.46</v>
      </c>
      <c r="T179" s="1">
        <f t="shared" si="10"/>
        <v>0.65053823869162375</v>
      </c>
      <c r="V179">
        <v>2.0840000000000001E-2</v>
      </c>
      <c r="W179">
        <v>9.81</v>
      </c>
    </row>
    <row r="180" spans="1:23" x14ac:dyDescent="0.3">
      <c r="A180" s="1">
        <v>2.9670000000000001</v>
      </c>
      <c r="B180" s="2">
        <f t="shared" si="8"/>
        <v>5.4381146400000011E-2</v>
      </c>
      <c r="C180" s="2">
        <f t="shared" si="9"/>
        <v>4.4097440000000002E-3</v>
      </c>
      <c r="D180" s="2">
        <f t="shared" si="11"/>
        <v>5.8790890400000011E-2</v>
      </c>
      <c r="Q180" s="1">
        <v>0.26600000000000001</v>
      </c>
      <c r="R180" s="1">
        <v>0.46</v>
      </c>
      <c r="S180" s="1">
        <v>0.46</v>
      </c>
      <c r="T180" s="1">
        <f t="shared" si="10"/>
        <v>0.65053823869162375</v>
      </c>
      <c r="V180">
        <v>2.0840000000000001E-2</v>
      </c>
      <c r="W180">
        <v>9.81</v>
      </c>
    </row>
    <row r="181" spans="1:23" x14ac:dyDescent="0.3">
      <c r="A181" s="1">
        <v>2.9830000000000001</v>
      </c>
      <c r="B181" s="2">
        <f t="shared" si="8"/>
        <v>5.540334840000001E-2</v>
      </c>
      <c r="C181" s="2">
        <f t="shared" si="9"/>
        <v>1.5332925799999998E-3</v>
      </c>
      <c r="D181" s="2">
        <f t="shared" si="11"/>
        <v>5.6936640980000008E-2</v>
      </c>
      <c r="Q181" s="1">
        <v>0.27100000000000002</v>
      </c>
      <c r="R181" s="1">
        <v>0.307</v>
      </c>
      <c r="S181" s="1">
        <v>0.23</v>
      </c>
      <c r="T181" s="1">
        <f t="shared" si="10"/>
        <v>0.38360005213763981</v>
      </c>
      <c r="V181">
        <v>2.0840000000000001E-2</v>
      </c>
      <c r="W181">
        <v>9.81</v>
      </c>
    </row>
    <row r="182" spans="1:23" x14ac:dyDescent="0.3">
      <c r="A182" s="1">
        <v>3</v>
      </c>
      <c r="B182" s="2">
        <f t="shared" si="8"/>
        <v>5.6016669600000013E-2</v>
      </c>
      <c r="C182" s="2">
        <f t="shared" si="9"/>
        <v>3.0526945601799999E-4</v>
      </c>
      <c r="D182" s="2">
        <f t="shared" si="11"/>
        <v>5.6321939056018011E-2</v>
      </c>
      <c r="Q182" s="1">
        <v>0.27400000000000002</v>
      </c>
      <c r="R182" s="1">
        <v>7.6730000000000007E-2</v>
      </c>
      <c r="S182" s="1">
        <v>0.153</v>
      </c>
      <c r="T182" s="1">
        <f t="shared" si="10"/>
        <v>0.17116218303118244</v>
      </c>
      <c r="V182">
        <v>2.0840000000000001E-2</v>
      </c>
      <c r="W182">
        <v>9.81</v>
      </c>
    </row>
    <row r="183" spans="1:23" x14ac:dyDescent="0.3">
      <c r="A183" s="1">
        <v>3.0169999999999999</v>
      </c>
      <c r="B183" s="2">
        <f t="shared" si="8"/>
        <v>5.642555040000001E-2</v>
      </c>
      <c r="C183" s="2">
        <f t="shared" si="9"/>
        <v>1.2269535203600002E-4</v>
      </c>
      <c r="D183" s="2">
        <f t="shared" si="11"/>
        <v>5.6548245752036007E-2</v>
      </c>
      <c r="Q183" s="1">
        <v>0.27600000000000002</v>
      </c>
      <c r="R183" s="1">
        <v>-7.6730000000000007E-2</v>
      </c>
      <c r="S183" s="1">
        <v>-7.6730000000000007E-2</v>
      </c>
      <c r="T183" s="1">
        <f t="shared" si="10"/>
        <v>0.10851260664088759</v>
      </c>
      <c r="V183">
        <v>2.0840000000000001E-2</v>
      </c>
      <c r="W183">
        <v>9.81</v>
      </c>
    </row>
    <row r="184" spans="1:23" x14ac:dyDescent="0.3">
      <c r="A184" s="1">
        <v>3.0329999999999999</v>
      </c>
      <c r="B184" s="2">
        <f t="shared" si="8"/>
        <v>5.540334840000001E-2</v>
      </c>
      <c r="C184" s="2">
        <f t="shared" si="9"/>
        <v>6.1347676018000009E-5</v>
      </c>
      <c r="D184" s="2">
        <f t="shared" si="11"/>
        <v>5.5464696076018012E-2</v>
      </c>
      <c r="Q184" s="1">
        <v>0.27100000000000002</v>
      </c>
      <c r="R184" s="1">
        <v>0</v>
      </c>
      <c r="S184" s="1">
        <v>-7.6730000000000007E-2</v>
      </c>
      <c r="T184" s="1">
        <f t="shared" si="10"/>
        <v>7.6730000000000007E-2</v>
      </c>
      <c r="V184">
        <v>2.0840000000000001E-2</v>
      </c>
      <c r="W184">
        <v>9.81</v>
      </c>
    </row>
    <row r="185" spans="1:23" x14ac:dyDescent="0.3">
      <c r="A185" s="1">
        <v>3.05</v>
      </c>
      <c r="B185" s="2">
        <f t="shared" si="8"/>
        <v>5.6016669600000013E-2</v>
      </c>
      <c r="C185" s="2">
        <f t="shared" si="9"/>
        <v>0</v>
      </c>
      <c r="D185" s="2">
        <f t="shared" si="11"/>
        <v>5.6016669600000013E-2</v>
      </c>
      <c r="Q185" s="1">
        <v>0.27400000000000002</v>
      </c>
      <c r="R185" s="1">
        <v>0</v>
      </c>
      <c r="S185" s="1">
        <v>0</v>
      </c>
      <c r="T185" s="1">
        <f t="shared" si="10"/>
        <v>0</v>
      </c>
      <c r="V185">
        <v>2.0840000000000001E-2</v>
      </c>
      <c r="W185">
        <v>9.81</v>
      </c>
    </row>
    <row r="186" spans="1:23" x14ac:dyDescent="0.3">
      <c r="A186" s="1">
        <v>3.0670000000000002</v>
      </c>
      <c r="B186" s="2">
        <f t="shared" si="8"/>
        <v>5.540334840000001E-2</v>
      </c>
      <c r="C186" s="2">
        <f t="shared" si="9"/>
        <v>1.102436E-3</v>
      </c>
      <c r="D186" s="2">
        <f t="shared" si="11"/>
        <v>5.6505784400000009E-2</v>
      </c>
      <c r="Q186" s="1">
        <v>0.27100000000000002</v>
      </c>
      <c r="R186" s="1">
        <v>-0.23</v>
      </c>
      <c r="S186" s="1">
        <v>-0.23</v>
      </c>
      <c r="T186" s="1">
        <f t="shared" si="10"/>
        <v>0.32526911934581187</v>
      </c>
      <c r="V186">
        <v>2.0840000000000001E-2</v>
      </c>
      <c r="W186">
        <v>9.81</v>
      </c>
    </row>
    <row r="187" spans="1:23" x14ac:dyDescent="0.3">
      <c r="A187" s="1">
        <v>3.0830000000000002</v>
      </c>
      <c r="B187" s="2">
        <f t="shared" si="8"/>
        <v>5.4381146400000011E-2</v>
      </c>
      <c r="C187" s="2">
        <f t="shared" si="9"/>
        <v>2.4487937800000002E-3</v>
      </c>
      <c r="D187" s="2">
        <f t="shared" si="11"/>
        <v>5.682994018000001E-2</v>
      </c>
      <c r="Q187" s="1">
        <v>0.26600000000000001</v>
      </c>
      <c r="R187" s="1">
        <v>-0.46</v>
      </c>
      <c r="S187" s="1">
        <v>-0.153</v>
      </c>
      <c r="T187" s="1">
        <f t="shared" si="10"/>
        <v>0.48477726844397317</v>
      </c>
      <c r="V187">
        <v>2.0840000000000001E-2</v>
      </c>
      <c r="W187">
        <v>9.81</v>
      </c>
    </row>
    <row r="188" spans="1:23" x14ac:dyDescent="0.3">
      <c r="A188" s="1">
        <v>3.1</v>
      </c>
      <c r="B188" s="2">
        <f t="shared" si="8"/>
        <v>5.4381146400000011E-2</v>
      </c>
      <c r="C188" s="2">
        <f t="shared" si="9"/>
        <v>3.98687956E-3</v>
      </c>
      <c r="D188" s="2">
        <f t="shared" si="11"/>
        <v>5.8368025960000014E-2</v>
      </c>
      <c r="Q188" s="1">
        <v>0.26600000000000001</v>
      </c>
      <c r="R188" s="1">
        <v>-0.53700000000000003</v>
      </c>
      <c r="S188" s="1">
        <v>-0.307</v>
      </c>
      <c r="T188" s="1">
        <f t="shared" si="10"/>
        <v>0.61856123383218897</v>
      </c>
      <c r="V188">
        <v>2.0840000000000001E-2</v>
      </c>
      <c r="W188">
        <v>9.81</v>
      </c>
    </row>
    <row r="189" spans="1:23" x14ac:dyDescent="0.3">
      <c r="A189" s="1">
        <v>3.117</v>
      </c>
      <c r="B189" s="2">
        <f t="shared" si="8"/>
        <v>5.2336742400000004E-2</v>
      </c>
      <c r="C189" s="2">
        <f t="shared" si="9"/>
        <v>4.4097440000000002E-3</v>
      </c>
      <c r="D189" s="2">
        <f t="shared" si="11"/>
        <v>5.6746486400000004E-2</v>
      </c>
      <c r="Q189" s="1">
        <v>0.25600000000000001</v>
      </c>
      <c r="R189" s="1">
        <v>-0.46</v>
      </c>
      <c r="S189" s="1">
        <v>-0.46</v>
      </c>
      <c r="T189" s="1">
        <f t="shared" si="10"/>
        <v>0.65053823869162375</v>
      </c>
      <c r="V189">
        <v>2.0840000000000001E-2</v>
      </c>
      <c r="W189">
        <v>9.81</v>
      </c>
    </row>
    <row r="190" spans="1:23" x14ac:dyDescent="0.3">
      <c r="A190" s="1">
        <v>3.133</v>
      </c>
      <c r="B190" s="2">
        <f t="shared" si="8"/>
        <v>5.1314540400000004E-2</v>
      </c>
      <c r="C190" s="2">
        <f t="shared" si="9"/>
        <v>7.9801569999999999E-3</v>
      </c>
      <c r="D190" s="2">
        <f t="shared" si="11"/>
        <v>5.9294697400000006E-2</v>
      </c>
      <c r="Q190" s="1">
        <v>0.251</v>
      </c>
      <c r="R190" s="1">
        <v>-0.69099999999999995</v>
      </c>
      <c r="S190" s="1">
        <v>-0.53700000000000003</v>
      </c>
      <c r="T190" s="1">
        <f t="shared" si="10"/>
        <v>0.87512856198389499</v>
      </c>
      <c r="V190">
        <v>2.0840000000000001E-2</v>
      </c>
      <c r="W190">
        <v>9.81</v>
      </c>
    </row>
    <row r="191" spans="1:23" x14ac:dyDescent="0.3">
      <c r="A191" s="1">
        <v>3.15</v>
      </c>
      <c r="B191" s="2">
        <f t="shared" si="8"/>
        <v>4.8656815200000002E-2</v>
      </c>
      <c r="C191" s="2">
        <f t="shared" si="9"/>
        <v>1.0427346100000002E-2</v>
      </c>
      <c r="D191" s="2">
        <f t="shared" si="11"/>
        <v>5.9084161300000007E-2</v>
      </c>
      <c r="Q191" s="1">
        <v>0.23799999999999999</v>
      </c>
      <c r="R191" s="1">
        <v>-0.84399999999999997</v>
      </c>
      <c r="S191" s="1">
        <v>-0.53700000000000003</v>
      </c>
      <c r="T191" s="1">
        <f t="shared" si="10"/>
        <v>1.0003524378937656</v>
      </c>
      <c r="V191">
        <v>2.0840000000000001E-2</v>
      </c>
      <c r="W191">
        <v>9.81</v>
      </c>
    </row>
    <row r="192" spans="1:23" x14ac:dyDescent="0.3">
      <c r="A192" s="1">
        <v>3.1669999999999998</v>
      </c>
      <c r="B192" s="2">
        <f t="shared" si="8"/>
        <v>4.7634613200000009E-2</v>
      </c>
      <c r="C192" s="2">
        <f t="shared" si="9"/>
        <v>1.2259942760000002E-2</v>
      </c>
      <c r="D192" s="2">
        <f t="shared" si="11"/>
        <v>5.9894555960000012E-2</v>
      </c>
      <c r="Q192" s="1">
        <v>0.23300000000000001</v>
      </c>
      <c r="R192" s="1">
        <v>-0.76700000000000002</v>
      </c>
      <c r="S192" s="1">
        <v>-0.76700000000000002</v>
      </c>
      <c r="T192" s="1">
        <f t="shared" si="10"/>
        <v>1.084701802340164</v>
      </c>
      <c r="V192">
        <v>2.0840000000000001E-2</v>
      </c>
      <c r="W192">
        <v>9.81</v>
      </c>
    </row>
    <row r="193" spans="1:23" x14ac:dyDescent="0.3">
      <c r="A193" s="1">
        <v>3.1829999999999998</v>
      </c>
      <c r="B193" s="2">
        <f t="shared" si="8"/>
        <v>4.3341364800000004E-2</v>
      </c>
      <c r="C193" s="2">
        <f t="shared" si="9"/>
        <v>1.9196244999999997E-2</v>
      </c>
      <c r="D193" s="2">
        <f t="shared" si="11"/>
        <v>6.2537609800000005E-2</v>
      </c>
      <c r="Q193" s="1">
        <v>0.21199999999999999</v>
      </c>
      <c r="R193" s="1">
        <v>-0.997</v>
      </c>
      <c r="S193" s="1">
        <v>-0.92100000000000004</v>
      </c>
      <c r="T193" s="1">
        <f t="shared" si="10"/>
        <v>1.3572951042422572</v>
      </c>
      <c r="V193">
        <v>2.0840000000000001E-2</v>
      </c>
      <c r="W193">
        <v>9.81</v>
      </c>
    </row>
    <row r="194" spans="1:23" x14ac:dyDescent="0.3">
      <c r="A194" s="1">
        <v>3.2</v>
      </c>
      <c r="B194" s="2">
        <f t="shared" si="8"/>
        <v>4.1296960800000004E-2</v>
      </c>
      <c r="C194" s="2">
        <f t="shared" si="9"/>
        <v>2.269368674E-2</v>
      </c>
      <c r="D194" s="2">
        <f t="shared" si="11"/>
        <v>6.3990647540000001E-2</v>
      </c>
      <c r="Q194" s="1">
        <v>0.20200000000000001</v>
      </c>
      <c r="R194" s="1">
        <v>-1.304</v>
      </c>
      <c r="S194" s="1">
        <v>-0.69099999999999995</v>
      </c>
      <c r="T194" s="1">
        <f t="shared" si="10"/>
        <v>1.4757699685249053</v>
      </c>
      <c r="V194">
        <v>2.0840000000000001E-2</v>
      </c>
      <c r="W194">
        <v>9.81</v>
      </c>
    </row>
    <row r="195" spans="1:23" x14ac:dyDescent="0.3">
      <c r="A195" s="1">
        <v>3.2170000000000001</v>
      </c>
      <c r="B195" s="2">
        <f t="shared" ref="B195:B255" si="12">V195*W195*Q195</f>
        <v>3.8639235600000002E-2</v>
      </c>
      <c r="C195" s="2">
        <f t="shared" ref="C195:C255" si="13">(V195*(T195)^(2))/(2)</f>
        <v>2.5140875840000004E-2</v>
      </c>
      <c r="D195" s="2">
        <f t="shared" si="11"/>
        <v>6.3780111440000009E-2</v>
      </c>
      <c r="Q195" s="1">
        <v>0.189</v>
      </c>
      <c r="R195" s="1">
        <v>-1.304</v>
      </c>
      <c r="S195" s="1">
        <v>-0.84399999999999997</v>
      </c>
      <c r="T195" s="1">
        <f t="shared" ref="T195:T255" si="14">SQRT((R195)^(2)+(S195)^(2))</f>
        <v>1.5533035762528844</v>
      </c>
      <c r="V195">
        <v>2.0840000000000001E-2</v>
      </c>
      <c r="W195">
        <v>9.81</v>
      </c>
    </row>
    <row r="196" spans="1:23" x14ac:dyDescent="0.3">
      <c r="A196" s="1">
        <v>3.2330000000000001</v>
      </c>
      <c r="B196" s="2">
        <f t="shared" si="12"/>
        <v>3.5572629600000003E-2</v>
      </c>
      <c r="C196" s="2">
        <f t="shared" si="13"/>
        <v>3.0230191400000002E-2</v>
      </c>
      <c r="D196" s="2">
        <f t="shared" ref="D196:D255" si="15">(B196+C196)</f>
        <v>6.5802821000000011E-2</v>
      </c>
      <c r="Q196" s="1">
        <v>0.17399999999999999</v>
      </c>
      <c r="R196" s="1">
        <v>-1.381</v>
      </c>
      <c r="S196" s="1">
        <v>-0.997</v>
      </c>
      <c r="T196" s="1">
        <f t="shared" si="14"/>
        <v>1.7032821257795199</v>
      </c>
      <c r="V196">
        <v>2.0840000000000001E-2</v>
      </c>
      <c r="W196">
        <v>9.81</v>
      </c>
    </row>
    <row r="197" spans="1:23" x14ac:dyDescent="0.3">
      <c r="A197" s="1">
        <v>3.25</v>
      </c>
      <c r="B197" s="2">
        <f t="shared" si="12"/>
        <v>3.18927024E-2</v>
      </c>
      <c r="C197" s="2">
        <f t="shared" si="13"/>
        <v>3.0681835880000004E-2</v>
      </c>
      <c r="D197" s="2">
        <f t="shared" si="15"/>
        <v>6.2574538280000008E-2</v>
      </c>
      <c r="Q197" s="1">
        <v>0.156</v>
      </c>
      <c r="R197" s="1">
        <v>-1.5349999999999999</v>
      </c>
      <c r="S197" s="1">
        <v>-0.76700000000000002</v>
      </c>
      <c r="T197" s="1">
        <f t="shared" si="14"/>
        <v>1.7159586242098031</v>
      </c>
      <c r="V197">
        <v>2.0840000000000001E-2</v>
      </c>
      <c r="W197">
        <v>9.81</v>
      </c>
    </row>
    <row r="198" spans="1:23" x14ac:dyDescent="0.3">
      <c r="A198" s="1">
        <v>3.2669999999999999</v>
      </c>
      <c r="B198" s="2">
        <f t="shared" si="12"/>
        <v>3.0257179200000001E-2</v>
      </c>
      <c r="C198" s="2">
        <f t="shared" si="13"/>
        <v>2.7125812900000001E-2</v>
      </c>
      <c r="D198" s="2">
        <f t="shared" si="15"/>
        <v>5.7382992100000002E-2</v>
      </c>
      <c r="Q198" s="1">
        <v>0.14799999999999999</v>
      </c>
      <c r="R198" s="1">
        <v>-1.458</v>
      </c>
      <c r="S198" s="1">
        <v>-0.69099999999999995</v>
      </c>
      <c r="T198" s="1">
        <f t="shared" si="14"/>
        <v>1.6134574676761702</v>
      </c>
      <c r="V198">
        <v>2.0840000000000001E-2</v>
      </c>
      <c r="W198">
        <v>9.81</v>
      </c>
    </row>
    <row r="199" spans="1:23" x14ac:dyDescent="0.3">
      <c r="A199" s="1">
        <v>3.2829999999999999</v>
      </c>
      <c r="B199" s="2">
        <f t="shared" si="12"/>
        <v>2.7190573200000005E-2</v>
      </c>
      <c r="C199" s="2">
        <f t="shared" si="13"/>
        <v>3.4465785940000007E-2</v>
      </c>
      <c r="D199" s="2">
        <f t="shared" si="15"/>
        <v>6.1656359140000012E-2</v>
      </c>
      <c r="Q199" s="1">
        <v>0.13300000000000001</v>
      </c>
      <c r="R199" s="1">
        <v>-1.611</v>
      </c>
      <c r="S199" s="1">
        <v>-0.84399999999999997</v>
      </c>
      <c r="T199" s="1">
        <f t="shared" si="14"/>
        <v>1.8186965112409492</v>
      </c>
      <c r="V199">
        <v>2.0840000000000001E-2</v>
      </c>
      <c r="W199">
        <v>9.81</v>
      </c>
    </row>
    <row r="200" spans="1:23" x14ac:dyDescent="0.3">
      <c r="A200" s="1">
        <v>3.3</v>
      </c>
      <c r="B200" s="2">
        <f t="shared" si="12"/>
        <v>2.4532848000000003E-2</v>
      </c>
      <c r="C200" s="2">
        <f t="shared" si="13"/>
        <v>4.4154979239999996E-2</v>
      </c>
      <c r="D200" s="2">
        <f t="shared" si="15"/>
        <v>6.8687827239999999E-2</v>
      </c>
      <c r="Q200" s="1">
        <v>0.12</v>
      </c>
      <c r="R200" s="1">
        <v>-1.841</v>
      </c>
      <c r="S200" s="1">
        <v>-0.92100000000000004</v>
      </c>
      <c r="T200" s="1">
        <f t="shared" si="14"/>
        <v>2.0585242286647976</v>
      </c>
      <c r="V200">
        <v>2.0840000000000001E-2</v>
      </c>
      <c r="W200">
        <v>9.81</v>
      </c>
    </row>
    <row r="201" spans="1:23" x14ac:dyDescent="0.3">
      <c r="A201" s="1">
        <v>3.3170000000000002</v>
      </c>
      <c r="B201" s="2">
        <f t="shared" si="12"/>
        <v>2.0852920800000001E-2</v>
      </c>
      <c r="C201" s="2">
        <f t="shared" si="13"/>
        <v>4.7170975300000001E-2</v>
      </c>
      <c r="D201" s="2">
        <f t="shared" si="15"/>
        <v>6.8023896100000009E-2</v>
      </c>
      <c r="Q201" s="1">
        <v>0.10199999999999999</v>
      </c>
      <c r="R201" s="1">
        <v>-1.9179999999999999</v>
      </c>
      <c r="S201" s="1">
        <v>-0.92100000000000004</v>
      </c>
      <c r="T201" s="1">
        <f t="shared" si="14"/>
        <v>2.1276665622225677</v>
      </c>
      <c r="V201">
        <v>2.0840000000000001E-2</v>
      </c>
      <c r="W201">
        <v>9.81</v>
      </c>
    </row>
    <row r="202" spans="1:23" x14ac:dyDescent="0.3">
      <c r="A202" s="1">
        <v>3.3330000000000002</v>
      </c>
      <c r="B202" s="2">
        <f t="shared" si="12"/>
        <v>1.8299460204000004E-2</v>
      </c>
      <c r="C202" s="2">
        <f t="shared" si="13"/>
        <v>4.7601831880000021E-2</v>
      </c>
      <c r="D202" s="2">
        <f t="shared" si="15"/>
        <v>6.5901292084000029E-2</v>
      </c>
      <c r="Q202" s="1">
        <v>8.9510000000000006E-2</v>
      </c>
      <c r="R202" s="1">
        <v>-1.9950000000000001</v>
      </c>
      <c r="S202" s="1">
        <v>-0.76700000000000002</v>
      </c>
      <c r="T202" s="1">
        <f t="shared" si="14"/>
        <v>2.1373614574984741</v>
      </c>
      <c r="V202">
        <v>2.0840000000000001E-2</v>
      </c>
      <c r="W202">
        <v>9.81</v>
      </c>
    </row>
    <row r="203" spans="1:23" x14ac:dyDescent="0.3">
      <c r="A203" s="1">
        <v>3.35</v>
      </c>
      <c r="B203" s="2">
        <f t="shared" si="12"/>
        <v>1.5686711892000004E-2</v>
      </c>
      <c r="C203" s="2">
        <f t="shared" si="13"/>
        <v>5.7715483880000015E-2</v>
      </c>
      <c r="D203" s="2">
        <f t="shared" si="15"/>
        <v>7.3402195772000023E-2</v>
      </c>
      <c r="Q203" s="1">
        <v>7.6730000000000007E-2</v>
      </c>
      <c r="R203" s="1">
        <v>-2.2250000000000001</v>
      </c>
      <c r="S203" s="1">
        <v>-0.76700000000000002</v>
      </c>
      <c r="T203" s="1">
        <f t="shared" si="14"/>
        <v>2.3534897492872155</v>
      </c>
      <c r="V203">
        <v>2.0840000000000001E-2</v>
      </c>
      <c r="W203">
        <v>9.81</v>
      </c>
    </row>
    <row r="204" spans="1:23" x14ac:dyDescent="0.3">
      <c r="A204" s="1">
        <v>3.367</v>
      </c>
      <c r="B204" s="2">
        <f t="shared" si="12"/>
        <v>1.3071919176000001E-2</v>
      </c>
      <c r="C204" s="2">
        <f t="shared" si="13"/>
        <v>6.5103430600000012E-2</v>
      </c>
      <c r="D204" s="2">
        <f t="shared" si="15"/>
        <v>7.8175349776000019E-2</v>
      </c>
      <c r="Q204" s="1">
        <v>6.3939999999999997E-2</v>
      </c>
      <c r="R204" s="1">
        <v>-2.379</v>
      </c>
      <c r="S204" s="1">
        <v>-0.76700000000000002</v>
      </c>
      <c r="T204" s="1">
        <f t="shared" si="14"/>
        <v>2.4995859657151223</v>
      </c>
      <c r="V204">
        <v>2.0840000000000001E-2</v>
      </c>
      <c r="W204">
        <v>9.81</v>
      </c>
    </row>
    <row r="205" spans="1:23" x14ac:dyDescent="0.3">
      <c r="A205" s="1">
        <v>3.383</v>
      </c>
      <c r="B205" s="2">
        <f t="shared" si="12"/>
        <v>1.0457126460000001E-2</v>
      </c>
      <c r="C205" s="2">
        <f t="shared" si="13"/>
        <v>5.5513810820000009E-2</v>
      </c>
      <c r="D205" s="2">
        <f t="shared" si="15"/>
        <v>6.5970937280000003E-2</v>
      </c>
      <c r="Q205" s="1">
        <v>5.1150000000000001E-2</v>
      </c>
      <c r="R205" s="1">
        <v>-2.2250000000000001</v>
      </c>
      <c r="S205" s="1">
        <v>-0.61399999999999999</v>
      </c>
      <c r="T205" s="1">
        <f t="shared" si="14"/>
        <v>2.3081639889747869</v>
      </c>
      <c r="V205">
        <v>2.0840000000000001E-2</v>
      </c>
      <c r="W205">
        <v>9.81</v>
      </c>
    </row>
    <row r="206" spans="1:23" x14ac:dyDescent="0.3">
      <c r="A206" s="1">
        <v>3.4</v>
      </c>
      <c r="B206" s="2">
        <f t="shared" si="12"/>
        <v>8.8890685920000011E-3</v>
      </c>
      <c r="C206" s="2">
        <f t="shared" si="13"/>
        <v>5.1081684660000015E-2</v>
      </c>
      <c r="D206" s="2">
        <f t="shared" si="15"/>
        <v>5.997075325200002E-2</v>
      </c>
      <c r="Q206" s="1">
        <v>4.3479999999999998E-2</v>
      </c>
      <c r="R206" s="1">
        <v>-2.1480000000000001</v>
      </c>
      <c r="S206" s="1">
        <v>-0.53700000000000003</v>
      </c>
      <c r="T206" s="1">
        <f t="shared" si="14"/>
        <v>2.214107720956684</v>
      </c>
      <c r="V206">
        <v>2.0840000000000001E-2</v>
      </c>
      <c r="W206">
        <v>9.81</v>
      </c>
    </row>
    <row r="207" spans="1:23" x14ac:dyDescent="0.3">
      <c r="A207" s="1">
        <v>3.4169999999999998</v>
      </c>
      <c r="B207" s="2">
        <f t="shared" si="12"/>
        <v>6.7976433000000013E-3</v>
      </c>
      <c r="C207" s="2">
        <f t="shared" si="13"/>
        <v>6.6729898820000008E-2</v>
      </c>
      <c r="D207" s="2">
        <f t="shared" si="15"/>
        <v>7.3527542120000011E-2</v>
      </c>
      <c r="Q207" s="1">
        <v>3.3250000000000002E-2</v>
      </c>
      <c r="R207" s="1">
        <v>-2.4550000000000001</v>
      </c>
      <c r="S207" s="1">
        <v>-0.61399999999999999</v>
      </c>
      <c r="T207" s="1">
        <f t="shared" si="14"/>
        <v>2.5306167232514687</v>
      </c>
      <c r="V207">
        <v>2.0840000000000001E-2</v>
      </c>
      <c r="W207">
        <v>9.81</v>
      </c>
    </row>
    <row r="208" spans="1:23" x14ac:dyDescent="0.3">
      <c r="A208" s="1">
        <v>3.4329999999999998</v>
      </c>
      <c r="B208" s="2">
        <f t="shared" si="12"/>
        <v>4.7062180080000007E-3</v>
      </c>
      <c r="C208" s="2">
        <f t="shared" si="13"/>
        <v>6.8339361600000009E-2</v>
      </c>
      <c r="D208" s="2">
        <f t="shared" si="15"/>
        <v>7.3045579608000011E-2</v>
      </c>
      <c r="Q208" s="1">
        <v>2.3019999999999999E-2</v>
      </c>
      <c r="R208" s="1">
        <v>-2.532</v>
      </c>
      <c r="S208" s="1">
        <v>-0.38400000000000001</v>
      </c>
      <c r="T208" s="1">
        <f t="shared" si="14"/>
        <v>2.5609529476349229</v>
      </c>
      <c r="V208">
        <v>2.0840000000000001E-2</v>
      </c>
      <c r="W208">
        <v>9.81</v>
      </c>
    </row>
    <row r="209" spans="1:23" x14ac:dyDescent="0.3">
      <c r="A209" s="1">
        <v>3.45</v>
      </c>
      <c r="B209" s="2">
        <f t="shared" si="12"/>
        <v>4.1828505840000004E-3</v>
      </c>
      <c r="C209" s="2">
        <f t="shared" si="13"/>
        <v>6.4338092020000001E-2</v>
      </c>
      <c r="D209" s="2">
        <f t="shared" si="15"/>
        <v>6.8520942604000004E-2</v>
      </c>
      <c r="Q209" s="1">
        <v>2.0459999999999999E-2</v>
      </c>
      <c r="R209" s="1">
        <v>-2.4550000000000001</v>
      </c>
      <c r="S209" s="1">
        <v>-0.38400000000000001</v>
      </c>
      <c r="T209" s="1">
        <f t="shared" si="14"/>
        <v>2.4848502973016302</v>
      </c>
      <c r="V209">
        <v>2.0840000000000001E-2</v>
      </c>
      <c r="W209">
        <v>9.81</v>
      </c>
    </row>
    <row r="210" spans="1:23" x14ac:dyDescent="0.3">
      <c r="A210" s="1">
        <v>3.4670000000000001</v>
      </c>
      <c r="B210" s="2">
        <f t="shared" si="12"/>
        <v>2.0914252920000002E-3</v>
      </c>
      <c r="C210" s="2">
        <f t="shared" si="13"/>
        <v>7.2464191539999986E-2</v>
      </c>
      <c r="D210" s="2">
        <f t="shared" si="15"/>
        <v>7.4555616831999988E-2</v>
      </c>
      <c r="Q210" s="1">
        <v>1.023E-2</v>
      </c>
      <c r="R210" s="1">
        <v>-2.609</v>
      </c>
      <c r="S210" s="1">
        <v>-0.38400000000000001</v>
      </c>
      <c r="T210" s="1">
        <f t="shared" si="14"/>
        <v>2.6371076959426589</v>
      </c>
      <c r="V210">
        <v>2.0840000000000001E-2</v>
      </c>
      <c r="W210">
        <v>9.81</v>
      </c>
    </row>
    <row r="211" spans="1:23" x14ac:dyDescent="0.3">
      <c r="A211" s="1">
        <v>3.4830000000000001</v>
      </c>
      <c r="B211" s="2">
        <f t="shared" si="12"/>
        <v>1.5686711892000003E-3</v>
      </c>
      <c r="C211" s="2">
        <f t="shared" si="13"/>
        <v>7.6102199079999988E-2</v>
      </c>
      <c r="D211" s="2">
        <f t="shared" si="15"/>
        <v>7.7670870269199985E-2</v>
      </c>
      <c r="Q211" s="1">
        <v>7.6730000000000001E-3</v>
      </c>
      <c r="R211" s="1">
        <v>-2.6850000000000001</v>
      </c>
      <c r="S211" s="1">
        <v>-0.307</v>
      </c>
      <c r="T211" s="1">
        <f t="shared" si="14"/>
        <v>2.7024940332959106</v>
      </c>
      <c r="V211">
        <v>2.0840000000000001E-2</v>
      </c>
      <c r="W211">
        <v>9.81</v>
      </c>
    </row>
    <row r="212" spans="1:23" x14ac:dyDescent="0.3">
      <c r="A212" s="1">
        <v>3.5</v>
      </c>
      <c r="B212" s="2">
        <f t="shared" si="12"/>
        <v>0</v>
      </c>
      <c r="C212" s="2">
        <f t="shared" si="13"/>
        <v>7.1171621800000001E-2</v>
      </c>
      <c r="D212" s="2">
        <f t="shared" si="15"/>
        <v>7.1171621800000001E-2</v>
      </c>
      <c r="Q212" s="1">
        <v>0</v>
      </c>
      <c r="R212" s="1">
        <v>-2.609</v>
      </c>
      <c r="S212" s="1">
        <v>-0.153</v>
      </c>
      <c r="T212" s="1">
        <f t="shared" si="14"/>
        <v>2.6134823511935181</v>
      </c>
      <c r="V212">
        <v>2.0840000000000001E-2</v>
      </c>
      <c r="W212">
        <v>9.81</v>
      </c>
    </row>
    <row r="213" spans="1:23" x14ac:dyDescent="0.3">
      <c r="A213" s="1">
        <v>3.5169999999999999</v>
      </c>
      <c r="B213" s="2">
        <f t="shared" si="12"/>
        <v>5.2295854320000008E-4</v>
      </c>
      <c r="C213" s="2">
        <f t="shared" si="13"/>
        <v>7.0927700019999998E-2</v>
      </c>
      <c r="D213" s="2">
        <f t="shared" si="15"/>
        <v>7.1450658563200001E-2</v>
      </c>
      <c r="Q213" s="1">
        <v>2.5579999999999999E-3</v>
      </c>
      <c r="R213" s="1">
        <v>-2.609</v>
      </c>
      <c r="S213" s="1">
        <v>0</v>
      </c>
      <c r="T213" s="1">
        <f t="shared" si="14"/>
        <v>2.609</v>
      </c>
      <c r="V213">
        <v>2.0840000000000001E-2</v>
      </c>
      <c r="W213">
        <v>9.81</v>
      </c>
    </row>
    <row r="214" spans="1:23" x14ac:dyDescent="0.3">
      <c r="A214" s="1">
        <v>3.5329999999999999</v>
      </c>
      <c r="B214" s="2">
        <f t="shared" si="12"/>
        <v>0</v>
      </c>
      <c r="C214" s="2">
        <f t="shared" si="13"/>
        <v>6.6802870080000007E-2</v>
      </c>
      <c r="D214" s="2">
        <f t="shared" si="15"/>
        <v>6.6802870080000007E-2</v>
      </c>
      <c r="Q214" s="1">
        <v>0</v>
      </c>
      <c r="R214" s="1">
        <v>-2.532</v>
      </c>
      <c r="S214" s="1">
        <v>0</v>
      </c>
      <c r="T214" s="1">
        <f t="shared" si="14"/>
        <v>2.532</v>
      </c>
      <c r="V214">
        <v>2.0840000000000001E-2</v>
      </c>
      <c r="W214">
        <v>9.81</v>
      </c>
    </row>
    <row r="215" spans="1:23" x14ac:dyDescent="0.3">
      <c r="A215" s="1">
        <v>3.55</v>
      </c>
      <c r="B215" s="2">
        <f t="shared" si="12"/>
        <v>5.2295854320000008E-4</v>
      </c>
      <c r="C215" s="2">
        <f t="shared" si="13"/>
        <v>7.1478918020000018E-2</v>
      </c>
      <c r="D215" s="2">
        <f t="shared" si="15"/>
        <v>7.2001876563200021E-2</v>
      </c>
      <c r="Q215" s="1">
        <v>2.5579999999999999E-3</v>
      </c>
      <c r="R215" s="1">
        <v>-2.609</v>
      </c>
      <c r="S215" s="1">
        <v>0.23</v>
      </c>
      <c r="T215" s="1">
        <f t="shared" si="14"/>
        <v>2.6191183631138171</v>
      </c>
      <c r="V215">
        <v>2.0840000000000001E-2</v>
      </c>
      <c r="W215">
        <v>9.81</v>
      </c>
    </row>
    <row r="216" spans="1:23" x14ac:dyDescent="0.3">
      <c r="A216" s="1">
        <v>3.5670000000000002</v>
      </c>
      <c r="B216" s="2">
        <f t="shared" si="12"/>
        <v>1.5686711892000003E-3</v>
      </c>
      <c r="C216" s="2">
        <f t="shared" si="13"/>
        <v>7.2464191539999986E-2</v>
      </c>
      <c r="D216" s="2">
        <f t="shared" si="15"/>
        <v>7.4032862729199983E-2</v>
      </c>
      <c r="Q216" s="1">
        <v>7.6730000000000001E-3</v>
      </c>
      <c r="R216" s="1">
        <v>-2.609</v>
      </c>
      <c r="S216" s="1">
        <v>0.38400000000000001</v>
      </c>
      <c r="T216" s="1">
        <f t="shared" si="14"/>
        <v>2.6371076959426589</v>
      </c>
      <c r="V216">
        <v>2.0840000000000001E-2</v>
      </c>
      <c r="W216">
        <v>9.81</v>
      </c>
    </row>
    <row r="217" spans="1:23" x14ac:dyDescent="0.3">
      <c r="A217" s="1">
        <v>3.5830000000000002</v>
      </c>
      <c r="B217" s="2">
        <f t="shared" si="12"/>
        <v>3.1381601400000004E-3</v>
      </c>
      <c r="C217" s="2">
        <f t="shared" si="13"/>
        <v>5.6754197200000016E-2</v>
      </c>
      <c r="D217" s="2">
        <f t="shared" si="15"/>
        <v>5.9892357340000014E-2</v>
      </c>
      <c r="Q217" s="1">
        <v>1.5350000000000001E-2</v>
      </c>
      <c r="R217" s="1">
        <v>-2.302</v>
      </c>
      <c r="S217" s="1">
        <v>0.38400000000000001</v>
      </c>
      <c r="T217" s="1">
        <f t="shared" si="14"/>
        <v>2.3338080469481635</v>
      </c>
      <c r="V217">
        <v>2.0840000000000001E-2</v>
      </c>
      <c r="W217">
        <v>9.81</v>
      </c>
    </row>
    <row r="218" spans="1:23" x14ac:dyDescent="0.3">
      <c r="A218" s="1">
        <v>3.6</v>
      </c>
      <c r="B218" s="2">
        <f t="shared" si="12"/>
        <v>4.1828505840000004E-3</v>
      </c>
      <c r="C218" s="2">
        <f t="shared" si="13"/>
        <v>6.8339361600000009E-2</v>
      </c>
      <c r="D218" s="2">
        <f t="shared" si="15"/>
        <v>7.2522212184000012E-2</v>
      </c>
      <c r="Q218" s="1">
        <v>2.0459999999999999E-2</v>
      </c>
      <c r="R218" s="1">
        <v>-2.532</v>
      </c>
      <c r="S218" s="1">
        <v>0.38400000000000001</v>
      </c>
      <c r="T218" s="1">
        <f t="shared" si="14"/>
        <v>2.5609529476349229</v>
      </c>
      <c r="V218">
        <v>2.0840000000000001E-2</v>
      </c>
      <c r="W218">
        <v>9.81</v>
      </c>
    </row>
    <row r="219" spans="1:23" x14ac:dyDescent="0.3">
      <c r="A219" s="1">
        <v>3.617</v>
      </c>
      <c r="B219" s="2">
        <f t="shared" si="12"/>
        <v>5.7509084520000007E-3</v>
      </c>
      <c r="C219" s="2">
        <f t="shared" si="13"/>
        <v>6.1178331219999986E-2</v>
      </c>
      <c r="D219" s="2">
        <f t="shared" si="15"/>
        <v>6.6929239671999985E-2</v>
      </c>
      <c r="Q219" s="1">
        <v>2.8129999999999999E-2</v>
      </c>
      <c r="R219" s="1">
        <v>-2.379</v>
      </c>
      <c r="S219" s="1">
        <v>0.46</v>
      </c>
      <c r="T219" s="1">
        <f t="shared" si="14"/>
        <v>2.4230643821409283</v>
      </c>
      <c r="V219">
        <v>2.0840000000000001E-2</v>
      </c>
      <c r="W219">
        <v>9.81</v>
      </c>
    </row>
    <row r="220" spans="1:23" x14ac:dyDescent="0.3">
      <c r="A220" s="1">
        <v>3.633</v>
      </c>
      <c r="B220" s="2">
        <f t="shared" si="12"/>
        <v>7.3210107240000008E-3</v>
      </c>
      <c r="C220" s="2">
        <f t="shared" si="13"/>
        <v>5.8222510660000018E-2</v>
      </c>
      <c r="D220" s="2">
        <f t="shared" si="15"/>
        <v>6.554352138400002E-2</v>
      </c>
      <c r="Q220" s="1">
        <v>3.5810000000000002E-2</v>
      </c>
      <c r="R220" s="1">
        <v>-2.302</v>
      </c>
      <c r="S220" s="1">
        <v>0.53700000000000003</v>
      </c>
      <c r="T220" s="1">
        <f t="shared" si="14"/>
        <v>2.3638047719725082</v>
      </c>
      <c r="V220">
        <v>2.0840000000000001E-2</v>
      </c>
      <c r="W220">
        <v>9.81</v>
      </c>
    </row>
    <row r="221" spans="1:23" x14ac:dyDescent="0.3">
      <c r="A221" s="1">
        <v>3.65</v>
      </c>
      <c r="B221" s="2">
        <f t="shared" si="12"/>
        <v>9.4124360160000014E-3</v>
      </c>
      <c r="C221" s="2">
        <f t="shared" si="13"/>
        <v>5.9146004000000009E-2</v>
      </c>
      <c r="D221" s="2">
        <f t="shared" si="15"/>
        <v>6.8558440016000005E-2</v>
      </c>
      <c r="Q221" s="1">
        <v>4.6039999999999998E-2</v>
      </c>
      <c r="R221" s="1">
        <v>-2.302</v>
      </c>
      <c r="S221" s="1">
        <v>0.61399999999999999</v>
      </c>
      <c r="T221" s="1">
        <f t="shared" si="14"/>
        <v>2.3824777018893588</v>
      </c>
      <c r="V221">
        <v>2.0840000000000001E-2</v>
      </c>
      <c r="W221">
        <v>9.81</v>
      </c>
    </row>
    <row r="222" spans="1:23" x14ac:dyDescent="0.3">
      <c r="A222" s="1">
        <v>3.6669999999999998</v>
      </c>
      <c r="B222" s="2">
        <f t="shared" si="12"/>
        <v>1.1503861308000001E-2</v>
      </c>
      <c r="C222" s="2">
        <f t="shared" si="13"/>
        <v>4.9710329300000015E-2</v>
      </c>
      <c r="D222" s="2">
        <f t="shared" si="15"/>
        <v>6.1214190608000013E-2</v>
      </c>
      <c r="Q222" s="1">
        <v>5.6270000000000001E-2</v>
      </c>
      <c r="R222" s="1">
        <v>-2.0720000000000001</v>
      </c>
      <c r="S222" s="1">
        <v>0.69099999999999995</v>
      </c>
      <c r="T222" s="1">
        <f t="shared" si="14"/>
        <v>2.1841852027701316</v>
      </c>
      <c r="V222">
        <v>2.0840000000000001E-2</v>
      </c>
      <c r="W222">
        <v>9.81</v>
      </c>
    </row>
    <row r="223" spans="1:23" x14ac:dyDescent="0.3">
      <c r="A223" s="1">
        <v>3.6829999999999998</v>
      </c>
      <c r="B223" s="2">
        <f t="shared" si="12"/>
        <v>1.4116609620000001E-2</v>
      </c>
      <c r="C223" s="2">
        <f t="shared" si="13"/>
        <v>4.9710329300000015E-2</v>
      </c>
      <c r="D223" s="2">
        <f t="shared" si="15"/>
        <v>6.382693892000002E-2</v>
      </c>
      <c r="Q223" s="1">
        <v>6.905E-2</v>
      </c>
      <c r="R223" s="1">
        <v>-2.0720000000000001</v>
      </c>
      <c r="S223" s="1">
        <v>0.69099999999999995</v>
      </c>
      <c r="T223" s="1">
        <f t="shared" si="14"/>
        <v>2.1841852027701316</v>
      </c>
      <c r="V223">
        <v>2.0840000000000001E-2</v>
      </c>
      <c r="W223">
        <v>9.81</v>
      </c>
    </row>
    <row r="224" spans="1:23" x14ac:dyDescent="0.3">
      <c r="A224" s="1">
        <v>3.7</v>
      </c>
      <c r="B224" s="2">
        <f t="shared" si="12"/>
        <v>1.6208034912000003E-2</v>
      </c>
      <c r="C224" s="2">
        <f t="shared" si="13"/>
        <v>5.2157518399999998E-2</v>
      </c>
      <c r="D224" s="2">
        <f t="shared" si="15"/>
        <v>6.8365553312000005E-2</v>
      </c>
      <c r="Q224" s="1">
        <v>7.9280000000000003E-2</v>
      </c>
      <c r="R224" s="1">
        <v>-2.0720000000000001</v>
      </c>
      <c r="S224" s="1">
        <v>0.84399999999999997</v>
      </c>
      <c r="T224" s="1">
        <f t="shared" si="14"/>
        <v>2.2373019465418609</v>
      </c>
      <c r="V224">
        <v>2.0840000000000001E-2</v>
      </c>
      <c r="W224">
        <v>9.81</v>
      </c>
    </row>
    <row r="225" spans="1:23" x14ac:dyDescent="0.3">
      <c r="A225" s="1">
        <v>3.7170000000000001</v>
      </c>
      <c r="B225" s="2">
        <f t="shared" si="12"/>
        <v>1.9869562476E-2</v>
      </c>
      <c r="C225" s="2">
        <f t="shared" si="13"/>
        <v>4.567388180000001E-2</v>
      </c>
      <c r="D225" s="2">
        <f t="shared" si="15"/>
        <v>6.5543444276000007E-2</v>
      </c>
      <c r="Q225" s="1">
        <v>9.7189999999999999E-2</v>
      </c>
      <c r="R225" s="1">
        <v>-1.841</v>
      </c>
      <c r="S225" s="1">
        <v>0.997</v>
      </c>
      <c r="T225" s="1">
        <f t="shared" si="14"/>
        <v>2.0936308175034108</v>
      </c>
      <c r="V225">
        <v>2.0840000000000001E-2</v>
      </c>
      <c r="W225">
        <v>9.81</v>
      </c>
    </row>
    <row r="226" spans="1:23" x14ac:dyDescent="0.3">
      <c r="A226" s="1">
        <v>3.7330000000000001</v>
      </c>
      <c r="B226" s="2">
        <f t="shared" si="12"/>
        <v>2.3101765200000002E-2</v>
      </c>
      <c r="C226" s="2">
        <f t="shared" si="13"/>
        <v>3.4665516499999993E-2</v>
      </c>
      <c r="D226" s="2">
        <f t="shared" si="15"/>
        <v>5.7767281699999992E-2</v>
      </c>
      <c r="Q226" s="1">
        <v>0.113</v>
      </c>
      <c r="R226" s="1">
        <v>-1.6879999999999999</v>
      </c>
      <c r="S226" s="1">
        <v>0.69099999999999995</v>
      </c>
      <c r="T226" s="1">
        <f t="shared" si="14"/>
        <v>1.8239586069864633</v>
      </c>
      <c r="V226">
        <v>2.0840000000000001E-2</v>
      </c>
      <c r="W226">
        <v>9.81</v>
      </c>
    </row>
    <row r="227" spans="1:23" x14ac:dyDescent="0.3">
      <c r="A227" s="1">
        <v>3.75</v>
      </c>
      <c r="B227" s="2">
        <f t="shared" si="12"/>
        <v>2.4532848000000003E-2</v>
      </c>
      <c r="C227" s="2">
        <f t="shared" si="13"/>
        <v>3.9244606339999995E-2</v>
      </c>
      <c r="D227" s="2">
        <f t="shared" si="15"/>
        <v>6.3777454339999998E-2</v>
      </c>
      <c r="Q227" s="1">
        <v>0.12</v>
      </c>
      <c r="R227" s="1">
        <v>-1.841</v>
      </c>
      <c r="S227" s="1">
        <v>0.61399999999999999</v>
      </c>
      <c r="T227" s="1">
        <f t="shared" si="14"/>
        <v>1.9406898258093692</v>
      </c>
      <c r="V227">
        <v>2.0840000000000001E-2</v>
      </c>
      <c r="W227">
        <v>9.81</v>
      </c>
    </row>
    <row r="228" spans="1:23" x14ac:dyDescent="0.3">
      <c r="A228" s="1">
        <v>3.7669999999999999</v>
      </c>
      <c r="B228" s="2">
        <f t="shared" si="12"/>
        <v>2.7190573200000005E-2</v>
      </c>
      <c r="C228" s="2">
        <f t="shared" si="13"/>
        <v>4.2738849140000014E-2</v>
      </c>
      <c r="D228" s="2">
        <f t="shared" si="15"/>
        <v>6.9929422340000019E-2</v>
      </c>
      <c r="Q228" s="1">
        <v>0.13300000000000001</v>
      </c>
      <c r="R228" s="1">
        <v>-1.841</v>
      </c>
      <c r="S228" s="1">
        <v>0.84399999999999997</v>
      </c>
      <c r="T228" s="1">
        <f t="shared" si="14"/>
        <v>2.0252449234598764</v>
      </c>
      <c r="V228">
        <v>2.0840000000000001E-2</v>
      </c>
      <c r="W228">
        <v>9.81</v>
      </c>
    </row>
    <row r="229" spans="1:23" x14ac:dyDescent="0.3">
      <c r="A229" s="1">
        <v>3.7829999999999999</v>
      </c>
      <c r="B229" s="2">
        <f t="shared" si="12"/>
        <v>3.0257179200000001E-2</v>
      </c>
      <c r="C229" s="2">
        <f t="shared" si="13"/>
        <v>2.8280432259999998E-2</v>
      </c>
      <c r="D229" s="2">
        <f t="shared" si="15"/>
        <v>5.853761146E-2</v>
      </c>
      <c r="Q229" s="1">
        <v>0.14799999999999999</v>
      </c>
      <c r="R229" s="1">
        <v>-1.458</v>
      </c>
      <c r="S229" s="1">
        <v>0.76700000000000002</v>
      </c>
      <c r="T229" s="1">
        <f t="shared" si="14"/>
        <v>1.6474383144749305</v>
      </c>
      <c r="V229">
        <v>2.0840000000000001E-2</v>
      </c>
      <c r="W229">
        <v>9.81</v>
      </c>
    </row>
    <row r="230" spans="1:23" x14ac:dyDescent="0.3">
      <c r="A230" s="1">
        <v>3.8</v>
      </c>
      <c r="B230" s="2">
        <f t="shared" si="12"/>
        <v>3.2506023600000003E-2</v>
      </c>
      <c r="C230" s="2">
        <f t="shared" si="13"/>
        <v>2.6002588999999996E-2</v>
      </c>
      <c r="D230" s="2">
        <f t="shared" si="15"/>
        <v>5.8508612599999996E-2</v>
      </c>
      <c r="Q230" s="1">
        <v>0.159</v>
      </c>
      <c r="R230" s="1">
        <v>-1.381</v>
      </c>
      <c r="S230" s="1">
        <v>0.76700000000000002</v>
      </c>
      <c r="T230" s="1">
        <f t="shared" si="14"/>
        <v>1.5796993384818516</v>
      </c>
      <c r="V230">
        <v>2.0840000000000001E-2</v>
      </c>
      <c r="W230">
        <v>9.81</v>
      </c>
    </row>
    <row r="231" spans="1:23" x14ac:dyDescent="0.3">
      <c r="A231" s="1">
        <v>3.8170000000000002</v>
      </c>
      <c r="B231" s="2">
        <f t="shared" si="12"/>
        <v>3.5572629600000003E-2</v>
      </c>
      <c r="C231" s="2">
        <f t="shared" si="13"/>
        <v>1.9641491599999998E-2</v>
      </c>
      <c r="D231" s="2">
        <f t="shared" si="15"/>
        <v>5.5214121200000001E-2</v>
      </c>
      <c r="Q231" s="1">
        <v>0.17399999999999999</v>
      </c>
      <c r="R231" s="1">
        <v>-1.228</v>
      </c>
      <c r="S231" s="1">
        <v>0.61399999999999999</v>
      </c>
      <c r="T231" s="1">
        <f t="shared" si="14"/>
        <v>1.3729457381848709</v>
      </c>
      <c r="V231">
        <v>2.0840000000000001E-2</v>
      </c>
      <c r="W231">
        <v>9.81</v>
      </c>
    </row>
    <row r="232" spans="1:23" x14ac:dyDescent="0.3">
      <c r="A232" s="1">
        <v>3.8330000000000002</v>
      </c>
      <c r="B232" s="2">
        <f t="shared" si="12"/>
        <v>3.6594831600000002E-2</v>
      </c>
      <c r="C232" s="2">
        <f t="shared" si="13"/>
        <v>1.8149191300000006E-2</v>
      </c>
      <c r="D232" s="2">
        <f t="shared" si="15"/>
        <v>5.4744022900000008E-2</v>
      </c>
      <c r="Q232" s="1">
        <v>0.17899999999999999</v>
      </c>
      <c r="R232" s="1">
        <v>-1.0740000000000001</v>
      </c>
      <c r="S232" s="1">
        <v>0.76700000000000002</v>
      </c>
      <c r="T232" s="1">
        <f t="shared" si="14"/>
        <v>1.3197594477782686</v>
      </c>
      <c r="V232">
        <v>2.0840000000000001E-2</v>
      </c>
      <c r="W232">
        <v>9.81</v>
      </c>
    </row>
    <row r="233" spans="1:23" x14ac:dyDescent="0.3">
      <c r="A233" s="1">
        <v>3.85</v>
      </c>
      <c r="B233" s="2">
        <f t="shared" si="12"/>
        <v>4.0683639600000009E-2</v>
      </c>
      <c r="C233" s="2">
        <f t="shared" si="13"/>
        <v>2.2376793700000001E-2</v>
      </c>
      <c r="D233" s="2">
        <f t="shared" si="15"/>
        <v>6.306043330000001E-2</v>
      </c>
      <c r="Q233" s="1">
        <v>0.19900000000000001</v>
      </c>
      <c r="R233" s="1">
        <v>-1.0740000000000001</v>
      </c>
      <c r="S233" s="1">
        <v>0.997</v>
      </c>
      <c r="T233" s="1">
        <f t="shared" si="14"/>
        <v>1.465429971032393</v>
      </c>
      <c r="V233">
        <v>2.0840000000000001E-2</v>
      </c>
      <c r="W233">
        <v>9.81</v>
      </c>
    </row>
    <row r="234" spans="1:23" x14ac:dyDescent="0.3">
      <c r="A234" s="1">
        <v>3.867</v>
      </c>
      <c r="B234" s="2">
        <f t="shared" si="12"/>
        <v>4.3341364800000004E-2</v>
      </c>
      <c r="C234" s="2">
        <f t="shared" si="13"/>
        <v>1.4285872100000001E-2</v>
      </c>
      <c r="D234" s="2">
        <f t="shared" si="15"/>
        <v>5.7627236900000003E-2</v>
      </c>
      <c r="Q234" s="1">
        <v>0.21199999999999999</v>
      </c>
      <c r="R234" s="1">
        <v>-0.997</v>
      </c>
      <c r="S234" s="1">
        <v>0.61399999999999999</v>
      </c>
      <c r="T234" s="1">
        <f t="shared" si="14"/>
        <v>1.1708992270900174</v>
      </c>
      <c r="V234">
        <v>2.0840000000000001E-2</v>
      </c>
      <c r="W234">
        <v>9.81</v>
      </c>
    </row>
    <row r="235" spans="1:23" x14ac:dyDescent="0.3">
      <c r="A235" s="1">
        <v>3.883</v>
      </c>
      <c r="B235" s="2">
        <f t="shared" si="12"/>
        <v>4.4976888000000007E-2</v>
      </c>
      <c r="C235" s="2">
        <f t="shared" si="13"/>
        <v>1.4285872100000001E-2</v>
      </c>
      <c r="D235" s="2">
        <f t="shared" si="15"/>
        <v>5.9262760100000006E-2</v>
      </c>
      <c r="Q235" s="1">
        <v>0.22</v>
      </c>
      <c r="R235" s="1">
        <v>-0.997</v>
      </c>
      <c r="S235" s="1">
        <v>0.61399999999999999</v>
      </c>
      <c r="T235" s="1">
        <f t="shared" si="14"/>
        <v>1.1708992270900174</v>
      </c>
      <c r="V235">
        <v>2.0840000000000001E-2</v>
      </c>
      <c r="W235">
        <v>9.81</v>
      </c>
    </row>
    <row r="236" spans="1:23" x14ac:dyDescent="0.3">
      <c r="A236" s="1">
        <v>3.9</v>
      </c>
      <c r="B236" s="2">
        <f t="shared" si="12"/>
        <v>4.7634613200000009E-2</v>
      </c>
      <c r="C236" s="2">
        <f t="shared" si="13"/>
        <v>1.0058269700000001E-2</v>
      </c>
      <c r="D236" s="2">
        <f t="shared" si="15"/>
        <v>5.7692882900000006E-2</v>
      </c>
      <c r="Q236" s="1">
        <v>0.23300000000000001</v>
      </c>
      <c r="R236" s="1">
        <v>-0.76700000000000002</v>
      </c>
      <c r="S236" s="1">
        <v>0.61399999999999999</v>
      </c>
      <c r="T236" s="1">
        <f t="shared" si="14"/>
        <v>0.98248918569111998</v>
      </c>
      <c r="V236">
        <v>2.0840000000000001E-2</v>
      </c>
      <c r="W236">
        <v>9.81</v>
      </c>
    </row>
    <row r="237" spans="1:23" x14ac:dyDescent="0.3">
      <c r="A237" s="1">
        <v>3.9169999999999998</v>
      </c>
      <c r="B237" s="2">
        <f t="shared" si="12"/>
        <v>4.9065696000000006E-2</v>
      </c>
      <c r="C237" s="2">
        <f t="shared" si="13"/>
        <v>6.133170319999999E-3</v>
      </c>
      <c r="D237" s="2">
        <f t="shared" si="15"/>
        <v>5.5198866320000005E-2</v>
      </c>
      <c r="Q237" s="1">
        <v>0.24</v>
      </c>
      <c r="R237" s="1">
        <v>-0.61399999999999999</v>
      </c>
      <c r="S237" s="1">
        <v>0.46</v>
      </c>
      <c r="T237" s="1">
        <f t="shared" si="14"/>
        <v>0.76720010427527963</v>
      </c>
      <c r="V237">
        <v>2.0840000000000001E-2</v>
      </c>
      <c r="W237">
        <v>9.81</v>
      </c>
    </row>
    <row r="238" spans="1:23" x14ac:dyDescent="0.3">
      <c r="A238" s="1">
        <v>3.9329999999999998</v>
      </c>
      <c r="B238" s="2">
        <f t="shared" si="12"/>
        <v>5.0701219200000008E-2</v>
      </c>
      <c r="C238" s="2">
        <f t="shared" si="13"/>
        <v>6.0096099600000013E-3</v>
      </c>
      <c r="D238" s="2">
        <f t="shared" si="15"/>
        <v>5.6710829160000011E-2</v>
      </c>
      <c r="Q238" s="1">
        <v>0.248</v>
      </c>
      <c r="R238" s="1">
        <v>-0.53700000000000003</v>
      </c>
      <c r="S238" s="1">
        <v>0.53700000000000003</v>
      </c>
      <c r="T238" s="1">
        <f t="shared" si="14"/>
        <v>0.75943268299435207</v>
      </c>
      <c r="V238">
        <v>2.0840000000000001E-2</v>
      </c>
      <c r="W238">
        <v>9.81</v>
      </c>
    </row>
    <row r="239" spans="1:23" x14ac:dyDescent="0.3">
      <c r="A239" s="1">
        <v>3.95</v>
      </c>
      <c r="B239" s="2">
        <f t="shared" si="12"/>
        <v>5.2745623200000008E-2</v>
      </c>
      <c r="C239" s="2">
        <f t="shared" si="13"/>
        <v>3.1869465800000011E-3</v>
      </c>
      <c r="D239" s="2">
        <f t="shared" si="15"/>
        <v>5.593256978000001E-2</v>
      </c>
      <c r="Q239" s="1">
        <v>0.25800000000000001</v>
      </c>
      <c r="R239" s="1">
        <v>-0.46</v>
      </c>
      <c r="S239" s="1">
        <v>0.307</v>
      </c>
      <c r="T239" s="1">
        <f t="shared" si="14"/>
        <v>0.55303616518271215</v>
      </c>
      <c r="V239">
        <v>2.0840000000000001E-2</v>
      </c>
      <c r="W239">
        <v>9.81</v>
      </c>
    </row>
    <row r="240" spans="1:23" x14ac:dyDescent="0.3">
      <c r="A240" s="1">
        <v>3.9670000000000001</v>
      </c>
      <c r="B240" s="2">
        <f t="shared" si="12"/>
        <v>5.2745623200000008E-2</v>
      </c>
      <c r="C240" s="2">
        <f t="shared" si="13"/>
        <v>2.0877095200000006E-3</v>
      </c>
      <c r="D240" s="2">
        <f t="shared" si="15"/>
        <v>5.483333272000001E-2</v>
      </c>
      <c r="Q240" s="1">
        <v>0.25800000000000001</v>
      </c>
      <c r="R240" s="1">
        <v>-0.38400000000000001</v>
      </c>
      <c r="S240" s="1">
        <v>0.23</v>
      </c>
      <c r="T240" s="1">
        <f t="shared" si="14"/>
        <v>0.44761143863846914</v>
      </c>
      <c r="V240">
        <v>2.0840000000000001E-2</v>
      </c>
      <c r="W240">
        <v>9.81</v>
      </c>
    </row>
    <row r="241" spans="1:23" x14ac:dyDescent="0.3">
      <c r="A241" s="1">
        <v>3.9830000000000001</v>
      </c>
      <c r="B241" s="2">
        <f t="shared" si="12"/>
        <v>5.4381146400000011E-2</v>
      </c>
      <c r="C241" s="2">
        <f t="shared" si="13"/>
        <v>1.0434222560180002E-3</v>
      </c>
      <c r="D241" s="2">
        <f t="shared" si="15"/>
        <v>5.5424568656018011E-2</v>
      </c>
      <c r="Q241" s="1">
        <v>0.26600000000000001</v>
      </c>
      <c r="R241" s="1">
        <v>-7.6730000000000007E-2</v>
      </c>
      <c r="S241" s="1">
        <v>0.307</v>
      </c>
      <c r="T241" s="1">
        <f t="shared" si="14"/>
        <v>0.31644350664850118</v>
      </c>
      <c r="V241">
        <v>2.0840000000000001E-2</v>
      </c>
      <c r="W241">
        <v>9.81</v>
      </c>
    </row>
    <row r="242" spans="1:23" x14ac:dyDescent="0.3">
      <c r="A242" s="1">
        <v>4</v>
      </c>
      <c r="B242" s="2">
        <f t="shared" si="12"/>
        <v>5.4994467600000006E-2</v>
      </c>
      <c r="C242" s="2">
        <f t="shared" si="13"/>
        <v>0</v>
      </c>
      <c r="D242" s="2">
        <f t="shared" si="15"/>
        <v>5.4994467600000006E-2</v>
      </c>
      <c r="Q242" s="1">
        <v>0.26900000000000002</v>
      </c>
      <c r="R242" s="1">
        <v>0</v>
      </c>
      <c r="S242" s="1">
        <v>0</v>
      </c>
      <c r="T242" s="1">
        <f t="shared" si="14"/>
        <v>0</v>
      </c>
      <c r="V242">
        <v>2.0840000000000001E-2</v>
      </c>
      <c r="W242">
        <v>9.81</v>
      </c>
    </row>
    <row r="243" spans="1:23" x14ac:dyDescent="0.3">
      <c r="A243" s="1">
        <v>4.0170000000000003</v>
      </c>
      <c r="B243" s="2">
        <f t="shared" si="12"/>
        <v>5.4381146400000011E-2</v>
      </c>
      <c r="C243" s="2">
        <f t="shared" si="13"/>
        <v>6.1347676018000009E-5</v>
      </c>
      <c r="D243" s="2">
        <f t="shared" si="15"/>
        <v>5.4442494076018012E-2</v>
      </c>
      <c r="Q243" s="1">
        <v>0.26600000000000001</v>
      </c>
      <c r="R243" s="1">
        <v>-7.6730000000000007E-2</v>
      </c>
      <c r="S243" s="1">
        <v>0</v>
      </c>
      <c r="T243" s="1">
        <f t="shared" si="14"/>
        <v>7.6730000000000007E-2</v>
      </c>
      <c r="V243">
        <v>2.0840000000000001E-2</v>
      </c>
      <c r="W243">
        <v>9.81</v>
      </c>
    </row>
    <row r="244" spans="1:23" x14ac:dyDescent="0.3">
      <c r="A244" s="1">
        <v>4.0330000000000004</v>
      </c>
      <c r="B244" s="2">
        <f t="shared" si="12"/>
        <v>5.4994467600000006E-2</v>
      </c>
      <c r="C244" s="2">
        <f t="shared" si="13"/>
        <v>7.9513978000000018E-4</v>
      </c>
      <c r="D244" s="2">
        <f t="shared" si="15"/>
        <v>5.5789607380000009E-2</v>
      </c>
      <c r="Q244" s="1">
        <v>0.26900000000000002</v>
      </c>
      <c r="R244" s="1">
        <v>0.23</v>
      </c>
      <c r="S244" s="1">
        <v>0.153</v>
      </c>
      <c r="T244" s="1">
        <f t="shared" si="14"/>
        <v>0.27624083695210599</v>
      </c>
      <c r="V244">
        <v>2.0840000000000001E-2</v>
      </c>
      <c r="W244">
        <v>9.81</v>
      </c>
    </row>
    <row r="245" spans="1:23" x14ac:dyDescent="0.3">
      <c r="A245" s="1">
        <v>4.05</v>
      </c>
      <c r="B245" s="2">
        <f t="shared" si="12"/>
        <v>5.540334840000001E-2</v>
      </c>
      <c r="C245" s="2">
        <f t="shared" si="13"/>
        <v>4.8784355999999994E-4</v>
      </c>
      <c r="D245" s="2">
        <f t="shared" si="15"/>
        <v>5.589119196000001E-2</v>
      </c>
      <c r="Q245" s="1">
        <v>0.27100000000000002</v>
      </c>
      <c r="R245" s="1">
        <v>0.153</v>
      </c>
      <c r="S245" s="1">
        <v>-0.153</v>
      </c>
      <c r="T245" s="1">
        <f t="shared" si="14"/>
        <v>0.21637467504308353</v>
      </c>
      <c r="V245">
        <v>2.0840000000000001E-2</v>
      </c>
      <c r="W245">
        <v>9.81</v>
      </c>
    </row>
    <row r="246" spans="1:23" x14ac:dyDescent="0.3">
      <c r="A246" s="1">
        <v>4.0670000000000002</v>
      </c>
      <c r="B246" s="2">
        <f t="shared" si="12"/>
        <v>5.3767825200000008E-2</v>
      </c>
      <c r="C246" s="2">
        <f t="shared" si="13"/>
        <v>1.5332925799999998E-3</v>
      </c>
      <c r="D246" s="2">
        <f t="shared" si="15"/>
        <v>5.5301117780000006E-2</v>
      </c>
      <c r="Q246" s="1">
        <v>0.26300000000000001</v>
      </c>
      <c r="R246" s="1">
        <v>0.23</v>
      </c>
      <c r="S246" s="1">
        <v>-0.307</v>
      </c>
      <c r="T246" s="1">
        <f t="shared" si="14"/>
        <v>0.38360005213763981</v>
      </c>
      <c r="V246">
        <v>2.0840000000000001E-2</v>
      </c>
      <c r="W246">
        <v>9.81</v>
      </c>
    </row>
    <row r="247" spans="1:23" x14ac:dyDescent="0.3">
      <c r="A247" s="1">
        <v>4.0830000000000002</v>
      </c>
      <c r="B247" s="2">
        <f t="shared" si="12"/>
        <v>5.3358944400000011E-2</v>
      </c>
      <c r="C247" s="2">
        <f t="shared" si="13"/>
        <v>1.5978391960180002E-3</v>
      </c>
      <c r="D247" s="2">
        <f t="shared" si="15"/>
        <v>5.4956783596018008E-2</v>
      </c>
      <c r="Q247" s="1">
        <v>0.26100000000000001</v>
      </c>
      <c r="R247" s="1">
        <v>0.38400000000000001</v>
      </c>
      <c r="S247" s="1">
        <v>-7.6730000000000007E-2</v>
      </c>
      <c r="T247" s="1">
        <f t="shared" si="14"/>
        <v>0.39159097653035879</v>
      </c>
      <c r="V247">
        <v>2.0840000000000001E-2</v>
      </c>
      <c r="W247">
        <v>9.81</v>
      </c>
    </row>
    <row r="248" spans="1:23" x14ac:dyDescent="0.3">
      <c r="A248" s="1">
        <v>4.0999999999999996</v>
      </c>
      <c r="B248" s="2">
        <f t="shared" si="12"/>
        <v>5.3358944400000011E-2</v>
      </c>
      <c r="C248" s="2">
        <f t="shared" si="13"/>
        <v>1.9641491600000003E-3</v>
      </c>
      <c r="D248" s="2">
        <f t="shared" si="15"/>
        <v>5.5323093560000008E-2</v>
      </c>
      <c r="Q248" s="1">
        <v>0.26100000000000001</v>
      </c>
      <c r="R248" s="1">
        <v>0.307</v>
      </c>
      <c r="S248" s="1">
        <v>-0.307</v>
      </c>
      <c r="T248" s="1">
        <f t="shared" si="14"/>
        <v>0.4341635636485402</v>
      </c>
      <c r="V248">
        <v>2.0840000000000001E-2</v>
      </c>
      <c r="W248">
        <v>9.81</v>
      </c>
    </row>
    <row r="249" spans="1:23" x14ac:dyDescent="0.3">
      <c r="A249" s="1">
        <v>4.117</v>
      </c>
      <c r="B249" s="2">
        <f t="shared" si="12"/>
        <v>5.1314540400000004E-2</v>
      </c>
      <c r="C249" s="2">
        <f t="shared" si="13"/>
        <v>6.133170319999999E-3</v>
      </c>
      <c r="D249" s="2">
        <f t="shared" si="15"/>
        <v>5.7447710720000003E-2</v>
      </c>
      <c r="Q249" s="1">
        <v>0.251</v>
      </c>
      <c r="R249" s="1">
        <v>0.61399999999999999</v>
      </c>
      <c r="S249" s="1">
        <v>-0.46</v>
      </c>
      <c r="T249" s="1">
        <f t="shared" si="14"/>
        <v>0.76720010427527963</v>
      </c>
      <c r="V249">
        <v>2.0840000000000001E-2</v>
      </c>
      <c r="W249">
        <v>9.81</v>
      </c>
    </row>
    <row r="250" spans="1:23" x14ac:dyDescent="0.3">
      <c r="A250" s="1">
        <v>4.133</v>
      </c>
      <c r="B250" s="2">
        <f t="shared" si="12"/>
        <v>5.0292338400000004E-2</v>
      </c>
      <c r="C250" s="2">
        <f t="shared" si="13"/>
        <v>9.1347763600000027E-3</v>
      </c>
      <c r="D250" s="2">
        <f t="shared" si="15"/>
        <v>5.942711476000001E-2</v>
      </c>
      <c r="Q250" s="1">
        <v>0.246</v>
      </c>
      <c r="R250" s="1">
        <v>0.76700000000000002</v>
      </c>
      <c r="S250" s="1">
        <v>-0.53700000000000003</v>
      </c>
      <c r="T250" s="1">
        <f t="shared" si="14"/>
        <v>0.93630016554521667</v>
      </c>
      <c r="V250">
        <v>2.0840000000000001E-2</v>
      </c>
      <c r="W250">
        <v>9.81</v>
      </c>
    </row>
    <row r="251" spans="1:23" x14ac:dyDescent="0.3">
      <c r="A251" s="1">
        <v>4.1500000000000004</v>
      </c>
      <c r="B251" s="2">
        <f t="shared" si="12"/>
        <v>4.7634613200000009E-2</v>
      </c>
      <c r="C251" s="2">
        <f t="shared" si="13"/>
        <v>8.9036503399999977E-3</v>
      </c>
      <c r="D251" s="2">
        <f t="shared" si="15"/>
        <v>5.6538263540000008E-2</v>
      </c>
      <c r="Q251" s="1">
        <v>0.23300000000000001</v>
      </c>
      <c r="R251" s="1">
        <v>0.69099999999999995</v>
      </c>
      <c r="S251" s="1">
        <v>-0.61399999999999999</v>
      </c>
      <c r="T251" s="1">
        <f t="shared" si="14"/>
        <v>0.92437925117345632</v>
      </c>
      <c r="V251">
        <v>2.0840000000000001E-2</v>
      </c>
      <c r="W251">
        <v>9.81</v>
      </c>
    </row>
    <row r="252" spans="1:23" x14ac:dyDescent="0.3">
      <c r="A252" s="1">
        <v>4.1669999999999998</v>
      </c>
      <c r="B252" s="2">
        <f t="shared" si="12"/>
        <v>4.5999090000000006E-2</v>
      </c>
      <c r="C252" s="2">
        <f t="shared" si="13"/>
        <v>6.9331033E-3</v>
      </c>
      <c r="D252" s="2">
        <f t="shared" si="15"/>
        <v>5.2932193300000006E-2</v>
      </c>
      <c r="Q252" s="1">
        <v>0.22500000000000001</v>
      </c>
      <c r="R252" s="1">
        <v>0.61399999999999999</v>
      </c>
      <c r="S252" s="1">
        <v>-0.53700000000000003</v>
      </c>
      <c r="T252" s="1">
        <f t="shared" si="14"/>
        <v>0.81569908667351099</v>
      </c>
      <c r="V252">
        <v>2.0840000000000001E-2</v>
      </c>
      <c r="W252">
        <v>9.81</v>
      </c>
    </row>
    <row r="253" spans="1:23" x14ac:dyDescent="0.3">
      <c r="A253" s="1">
        <v>4.1829999999999998</v>
      </c>
      <c r="B253" s="2">
        <f t="shared" si="12"/>
        <v>4.3954686000000007E-2</v>
      </c>
      <c r="C253" s="2">
        <f t="shared" si="13"/>
        <v>1.5332925800000001E-2</v>
      </c>
      <c r="D253" s="2">
        <f t="shared" si="15"/>
        <v>5.9287611800000008E-2</v>
      </c>
      <c r="Q253" s="1">
        <v>0.215</v>
      </c>
      <c r="R253" s="1">
        <v>0.997</v>
      </c>
      <c r="S253" s="1">
        <v>-0.69099999999999995</v>
      </c>
      <c r="T253" s="1">
        <f t="shared" si="14"/>
        <v>1.213049875314284</v>
      </c>
      <c r="V253">
        <v>2.0840000000000001E-2</v>
      </c>
      <c r="W253">
        <v>9.81</v>
      </c>
    </row>
    <row r="254" spans="1:23" x14ac:dyDescent="0.3">
      <c r="A254" s="1">
        <v>4.2</v>
      </c>
      <c r="B254" s="2">
        <f t="shared" si="12"/>
        <v>4.1296960800000004E-2</v>
      </c>
      <c r="C254" s="2">
        <f t="shared" si="13"/>
        <v>2.3848306100000004E-2</v>
      </c>
      <c r="D254" s="2">
        <f t="shared" si="15"/>
        <v>6.5145266900000012E-2</v>
      </c>
      <c r="Q254" s="1">
        <v>0.20200000000000001</v>
      </c>
      <c r="R254" s="1">
        <v>1.304</v>
      </c>
      <c r="S254" s="1">
        <v>-0.76700000000000002</v>
      </c>
      <c r="T254" s="1">
        <f t="shared" si="14"/>
        <v>1.5128466544894761</v>
      </c>
      <c r="V254">
        <v>2.0840000000000001E-2</v>
      </c>
      <c r="W254">
        <v>9.81</v>
      </c>
    </row>
    <row r="255" spans="1:23" x14ac:dyDescent="0.3">
      <c r="A255" s="1">
        <v>4.2169999999999996</v>
      </c>
      <c r="B255" s="2">
        <f t="shared" si="12"/>
        <v>3.8639235600000002E-2</v>
      </c>
      <c r="C255" s="2">
        <f t="shared" si="13"/>
        <v>1.8149191300000006E-2</v>
      </c>
      <c r="D255" s="2">
        <f t="shared" si="15"/>
        <v>5.6788426900000008E-2</v>
      </c>
      <c r="Q255" s="1">
        <v>0.189</v>
      </c>
      <c r="R255" s="1">
        <v>1.0740000000000001</v>
      </c>
      <c r="S255" s="1">
        <v>-0.76700000000000002</v>
      </c>
      <c r="T255" s="1">
        <f t="shared" si="14"/>
        <v>1.3197594477782686</v>
      </c>
      <c r="V255">
        <v>2.0840000000000001E-2</v>
      </c>
      <c r="W255">
        <v>9.81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oscillations</vt:lpstr>
      <vt:lpstr>for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Ahmed Nauman</dc:creator>
  <cp:lastModifiedBy>Misbah Ahmed</cp:lastModifiedBy>
  <dcterms:created xsi:type="dcterms:W3CDTF">2024-02-13T22:02:50Z</dcterms:created>
  <dcterms:modified xsi:type="dcterms:W3CDTF">2024-02-15T21:24:00Z</dcterms:modified>
</cp:coreProperties>
</file>