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ba\OneDrive\Desktop\"/>
    </mc:Choice>
  </mc:AlternateContent>
  <xr:revisionPtr revIDLastSave="0" documentId="13_ncr:1_{1E346F28-C2FF-420C-B9C2-FFF5134702BA}" xr6:coauthVersionLast="47" xr6:coauthVersionMax="47" xr10:uidLastSave="{00000000-0000-0000-0000-000000000000}"/>
  <bookViews>
    <workbookView xWindow="-108" yWindow="-108" windowWidth="23256" windowHeight="12456" xr2:uid="{9225FB76-758B-EC4E-9328-AAEFDFA79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25" i="1" a="1"/>
  <c r="C25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<sst xmlns="http://schemas.openxmlformats.org/spreadsheetml/2006/main" count="10" uniqueCount="10">
  <si>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rm(g-a)</t>
  </si>
  <si>
    <t xml:space="preserve">radius </t>
  </si>
  <si>
    <t>gravity</t>
  </si>
  <si>
    <t xml:space="preserve">mass (in kg) </t>
  </si>
  <si>
    <r>
      <t>linear acceleration, a (in m/s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</si>
  <si>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r>
      <t>angular acceleration,  (in s</t>
    </r>
    <r>
      <rPr>
        <b/>
        <vertAlign val="superscript"/>
        <sz val="12"/>
        <color theme="1"/>
        <rFont val="Times New Roman"/>
        <family val="1"/>
      </rPr>
      <t>-2</t>
    </r>
    <r>
      <rPr>
        <b/>
        <sz val="12"/>
        <color theme="1"/>
        <rFont val="Times New Roman"/>
        <family val="1"/>
      </rPr>
      <t xml:space="preserve">) </t>
    </r>
  </si>
  <si>
    <t>slope</t>
  </si>
  <si>
    <t>slope error</t>
  </si>
  <si>
    <t>b</t>
  </si>
  <si>
    <t>b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</si>
</sst>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4" formatCode="0.00000"/>
    <numFmt numFmtId="175" formatCode="0.0000"/>
    <numFmt numFmtId="176" formatCode="0.000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176" fontId="2" fillId="5" borderId="0" xfId="0" applyNumberFormat="1" applyFont="1" applyFill="1" applyAlignment="1">
      <alignment horizontal="center"/>
    </xf>
    <xf numFmtId="174" fontId="2" fillId="6" borderId="0" xfId="0" applyNumberFormat="1" applyFont="1" applyFill="1" applyAlignment="1">
      <alignment horizontal="center"/>
    </xf>
    <xf numFmtId="176" fontId="2" fillId="9" borderId="0" xfId="0" applyNumberFormat="1" applyFont="1" applyFill="1" applyAlignment="1">
      <alignment horizontal="center"/>
    </xf>
    <xf numFmtId="175" fontId="2" fillId="6" borderId="0" xfId="0" applyNumberFormat="1" applyFont="1" applyFill="1" applyAlignment="1">
      <alignment horizontal="center"/>
    </xf>
    <xf numFmtId="176" fontId="2" fillId="7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Linearized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graph of </a:t>
            </a:r>
            <a:r>
              <a:rPr lang="en-US" sz="12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𝑟⋅𝑚⋅(𝑔−𝑎) 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against </a:t>
            </a:r>
            <a:r>
              <a:rPr lang="el-G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α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a Moment of Inertia Experiment</a:t>
            </a:r>
            <a:endParaRPr lang="en-U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rm(g-a)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686500532078914E-2"/>
                  <c:y val="-1.697797147819040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0.2028x - 0.0013</a:t>
                    </a:r>
                    <a:endParaRPr lang="en-US" sz="11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Sheet1!$C$3:$C$19</c:f>
              <c:numCache>
                <c:formatCode>0.000</c:formatCode>
                <c:ptCount val="17"/>
                <c:pt idx="0">
                  <c:v>0.18105263157894738</c:v>
                </c:pt>
                <c:pt idx="1">
                  <c:v>0.2056842105263158</c:v>
                </c:pt>
                <c:pt idx="2">
                  <c:v>0.22131578947368424</c:v>
                </c:pt>
                <c:pt idx="3">
                  <c:v>0.26600000000000001</c:v>
                </c:pt>
                <c:pt idx="4">
                  <c:v>0.26094736842105265</c:v>
                </c:pt>
                <c:pt idx="5">
                  <c:v>0.30742105263157893</c:v>
                </c:pt>
                <c:pt idx="6">
                  <c:v>0.30731578947368421</c:v>
                </c:pt>
                <c:pt idx="7">
                  <c:v>0.35131578947368425</c:v>
                </c:pt>
                <c:pt idx="8">
                  <c:v>0.34968421052631576</c:v>
                </c:pt>
                <c:pt idx="9">
                  <c:v>0.39305263157894738</c:v>
                </c:pt>
                <c:pt idx="10">
                  <c:v>0.39663157894736845</c:v>
                </c:pt>
                <c:pt idx="11">
                  <c:v>0.44136842105263158</c:v>
                </c:pt>
                <c:pt idx="12">
                  <c:v>0.44115789473684214</c:v>
                </c:pt>
                <c:pt idx="13">
                  <c:v>0.48947368421052628</c:v>
                </c:pt>
                <c:pt idx="14">
                  <c:v>0.48894736842105263</c:v>
                </c:pt>
                <c:pt idx="15">
                  <c:v>0.53526315789473689</c:v>
                </c:pt>
                <c:pt idx="16">
                  <c:v>0.53210526315789475</c:v>
                </c:pt>
              </c:numCache>
            </c:numRef>
          </c:xVal>
          <c:yVal>
            <c:numRef>
              <c:f>Sheet1!$D$2:$D$19</c:f>
              <c:numCache>
                <c:formatCode>0.000</c:formatCode>
                <c:ptCount val="18"/>
                <c:pt idx="0">
                  <c:v>3.7264928000000003E-2</c:v>
                </c:pt>
                <c:pt idx="1">
                  <c:v>3.7265528399999998E-2</c:v>
                </c:pt>
                <c:pt idx="2">
                  <c:v>4.6578937000000008E-2</c:v>
                </c:pt>
                <c:pt idx="3">
                  <c:v>4.6577526250000001E-2</c:v>
                </c:pt>
                <c:pt idx="4">
                  <c:v>5.5888192199999999E-2</c:v>
                </c:pt>
                <c:pt idx="5">
                  <c:v>5.5888739399999998E-2</c:v>
                </c:pt>
                <c:pt idx="6">
                  <c:v>6.5197657349999993E-2</c:v>
                </c:pt>
                <c:pt idx="7">
                  <c:v>6.5197670649999998E-2</c:v>
                </c:pt>
                <c:pt idx="8">
                  <c:v>7.4505270000000012E-2</c:v>
                </c:pt>
                <c:pt idx="9">
                  <c:v>7.4505505600000008E-2</c:v>
                </c:pt>
                <c:pt idx="10">
                  <c:v>8.381164860000001E-2</c:v>
                </c:pt>
                <c:pt idx="11">
                  <c:v>8.3811067200000006E-2</c:v>
                </c:pt>
                <c:pt idx="12">
                  <c:v>9.3115333000000008E-2</c:v>
                </c:pt>
                <c:pt idx="13">
                  <c:v>9.3115371000000016E-2</c:v>
                </c:pt>
                <c:pt idx="14">
                  <c:v>0.10241731500000002</c:v>
                </c:pt>
                <c:pt idx="15">
                  <c:v>0.10241741950000001</c:v>
                </c:pt>
                <c:pt idx="16">
                  <c:v>0.11171806199999999</c:v>
                </c:pt>
                <c:pt idx="17">
                  <c:v>0.11171874600000001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94-6442-AC87-A1BAE29FA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451040"/>
        <c:axId val="1863470144"/>
      </c:scatterChart>
      <c:valAx>
        <c:axId val="855451040"/>
        <c:scaling>
          <c:orientation val="minMax"/>
          <c:max val="0.55000000000000004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Angular</a:t>
                </a:r>
                <a:r>
                  <a:rPr lang="en-US" sz="1200" b="1" i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accelaration, </a:t>
                </a:r>
                <a:r>
                  <a:rPr lang="el-GR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α</a:t>
                </a: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</a:t>
                </a:r>
                <a:r>
                  <a:rPr lang="en-US" sz="1200" b="0" i="0" u="none" strike="noStrike" baseline="0">
                    <a:effectLst/>
                  </a:rPr>
                  <a:t>s</a:t>
                </a:r>
                <a:r>
                  <a:rPr lang="en-US" sz="1200" b="0" i="0" u="none" strike="noStrike" baseline="30000">
                    <a:effectLst/>
                  </a:rPr>
                  <a:t>-2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 </a:t>
                </a:r>
                <a:endParaRPr lang="en-US" sz="1200" b="0" i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70144"/>
        <c:crosses val="autoZero"/>
        <c:crossBetween val="midCat"/>
      </c:valAx>
      <c:valAx>
        <c:axId val="1863470144"/>
        <c:scaling>
          <c:orientation val="minMax"/>
          <c:max val="0.12000000000000001"/>
          <c:min val="3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𝑟⋅𝑚⋅(𝑔−𝑎) </a:t>
                </a:r>
                <a:r>
                  <a:rPr lang="en-US" sz="12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(𝑚^2⋅𝑘𝑔⋅𝑠^(−2))</a:t>
                </a:r>
                <a:endParaRPr lang="en-US" sz="1200" b="0" i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5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287243</xdr:colOff>
      <xdr:row>10</xdr:row>
      <xdr:rowOff>122145</xdr:rowOff>
    </xdr:from>
    <xdr:to>
      <xdr:col>16</xdr:col>
      <xdr:colOff>507128</xdr:colOff>
      <xdr:row>31</xdr:row>
      <xdr:rowOff>107328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551CF-1EDB-D9C0-0A3E-DE5FCAB9E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4979-3EAC-E94A-8743-3F4A2BB8DB9B}">
  <dimension ref="A1:G29"/>
  <sheetViews>
    <sheetView tabSelected="1" topLeftCell="A3" zoomScale="85" zoomScaleNormal="85" workbookViewId="0">
      <selection activeCell="D2" sqref="D2:D5"/>
    </sheetView>
  </sheetViews>
  <sheetFormatPr defaultColWidth="11.19921875" defaultRowHeight="15.6" x14ac:dyDescent="0.3"/>
  <cols>
    <col min="1" max="1" width="8.3984375" customWidth="1"/>
    <col min="2" max="2" width="12.59765625" customWidth="1"/>
    <col min="3" max="3" width="20.296875" customWidth="1"/>
    <col min="4" max="4" width="17.3984375" customWidth="1"/>
  </cols>
  <sheetData>
    <row r="1" spans="1:7" ht="64.8" customHeight="1" x14ac:dyDescent="0.3">
      <c r="A1" s="3" t="s">
        <v>3</v>
      </c>
      <c r="B1" s="4" t="s">
        <v>4</v>
      </c>
      <c r="C1" s="6" t="s">
        <v>5</v>
      </c>
      <c r="D1" s="5" t="s">
        <v>0</v>
      </c>
      <c r="F1" s="2" t="s">
        <v>1</v>
      </c>
      <c r="G1" s="2" t="s">
        <v>2</v>
      </c>
    </row>
    <row r="2" spans="1:7" x14ac:dyDescent="0.3">
      <c r="A2" s="7">
        <v>0.2</v>
      </c>
      <c r="B2" s="8">
        <v>3.2820000000000002E-3</v>
      </c>
      <c r="C2" s="11">
        <f>B2/F3</f>
        <v>0.17273684210526316</v>
      </c>
      <c r="D2" s="9">
        <f>F2*A2*(G2-B3)</f>
        <v>3.7264928000000003E-2</v>
      </c>
      <c r="F2" s="1">
        <v>1.9E-2</v>
      </c>
      <c r="G2" s="1">
        <v>9.81</v>
      </c>
    </row>
    <row r="3" spans="1:7" x14ac:dyDescent="0.3">
      <c r="A3" s="7">
        <v>0.2</v>
      </c>
      <c r="B3" s="8">
        <v>3.4399999999999999E-3</v>
      </c>
      <c r="C3" s="11">
        <f>B3/F2</f>
        <v>0.18105263157894738</v>
      </c>
      <c r="D3" s="9">
        <f>F3*A3*(G3-B2)</f>
        <v>3.7265528399999998E-2</v>
      </c>
      <c r="F3" s="1">
        <v>1.9E-2</v>
      </c>
      <c r="G3" s="1">
        <v>9.81</v>
      </c>
    </row>
    <row r="4" spans="1:7" x14ac:dyDescent="0.3">
      <c r="A4" s="7">
        <v>0.25</v>
      </c>
      <c r="B4" s="8">
        <v>3.908E-3</v>
      </c>
      <c r="C4" s="11">
        <f t="shared" ref="C3:C19" si="0">B4/F4</f>
        <v>0.2056842105263158</v>
      </c>
      <c r="D4" s="9">
        <f t="shared" ref="D3:D19" si="1">F4*A4*(G4-B4)</f>
        <v>4.6578937000000008E-2</v>
      </c>
      <c r="F4" s="1">
        <v>1.9E-2</v>
      </c>
      <c r="G4" s="1">
        <v>9.81</v>
      </c>
    </row>
    <row r="5" spans="1:7" x14ac:dyDescent="0.3">
      <c r="A5" s="7">
        <v>0.25</v>
      </c>
      <c r="B5" s="8">
        <v>4.2050000000000004E-3</v>
      </c>
      <c r="C5" s="11">
        <f t="shared" si="0"/>
        <v>0.22131578947368424</v>
      </c>
      <c r="D5" s="9">
        <f t="shared" si="1"/>
        <v>4.6577526250000001E-2</v>
      </c>
      <c r="F5" s="1">
        <v>1.9E-2</v>
      </c>
      <c r="G5" s="1">
        <v>9.81</v>
      </c>
    </row>
    <row r="6" spans="1:7" x14ac:dyDescent="0.3">
      <c r="A6" s="7">
        <v>0.3</v>
      </c>
      <c r="B6" s="8">
        <v>5.0540000000000003E-3</v>
      </c>
      <c r="C6" s="11">
        <f t="shared" si="0"/>
        <v>0.26600000000000001</v>
      </c>
      <c r="D6" s="9">
        <f t="shared" si="1"/>
        <v>5.5888192199999999E-2</v>
      </c>
      <c r="F6" s="1">
        <v>1.9E-2</v>
      </c>
      <c r="G6" s="1">
        <v>9.81</v>
      </c>
    </row>
    <row r="7" spans="1:7" x14ac:dyDescent="0.3">
      <c r="A7" s="7">
        <v>0.3</v>
      </c>
      <c r="B7" s="8">
        <v>4.9579999999999997E-3</v>
      </c>
      <c r="C7" s="11">
        <f t="shared" si="0"/>
        <v>0.26094736842105265</v>
      </c>
      <c r="D7" s="9">
        <f t="shared" si="1"/>
        <v>5.5888739399999998E-2</v>
      </c>
      <c r="F7" s="1">
        <v>1.9E-2</v>
      </c>
      <c r="G7" s="1">
        <v>9.81</v>
      </c>
    </row>
    <row r="8" spans="1:7" x14ac:dyDescent="0.3">
      <c r="A8" s="7">
        <v>0.35</v>
      </c>
      <c r="B8" s="8">
        <v>5.8409999999999998E-3</v>
      </c>
      <c r="C8" s="11">
        <f t="shared" si="0"/>
        <v>0.30742105263157893</v>
      </c>
      <c r="D8" s="9">
        <f t="shared" si="1"/>
        <v>6.5197657349999993E-2</v>
      </c>
      <c r="F8" s="1">
        <v>1.9E-2</v>
      </c>
      <c r="G8" s="1">
        <v>9.81</v>
      </c>
    </row>
    <row r="9" spans="1:7" x14ac:dyDescent="0.3">
      <c r="A9" s="7">
        <v>0.35</v>
      </c>
      <c r="B9" s="8">
        <v>5.8389999999999996E-3</v>
      </c>
      <c r="C9" s="11">
        <f t="shared" si="0"/>
        <v>0.30731578947368421</v>
      </c>
      <c r="D9" s="9">
        <f t="shared" si="1"/>
        <v>6.5197670649999998E-2</v>
      </c>
      <c r="F9" s="1">
        <v>1.9E-2</v>
      </c>
      <c r="G9" s="1">
        <v>9.81</v>
      </c>
    </row>
    <row r="10" spans="1:7" x14ac:dyDescent="0.3">
      <c r="A10" s="7">
        <v>0.4</v>
      </c>
      <c r="B10" s="8">
        <v>6.6750000000000004E-3</v>
      </c>
      <c r="C10" s="11">
        <f t="shared" si="0"/>
        <v>0.35131578947368425</v>
      </c>
      <c r="D10" s="9">
        <f t="shared" si="1"/>
        <v>7.4505270000000012E-2</v>
      </c>
      <c r="F10" s="1">
        <v>1.9E-2</v>
      </c>
      <c r="G10" s="1">
        <v>9.81</v>
      </c>
    </row>
    <row r="11" spans="1:7" x14ac:dyDescent="0.3">
      <c r="A11" s="7">
        <v>0.4</v>
      </c>
      <c r="B11" s="8">
        <v>6.6439999999999997E-3</v>
      </c>
      <c r="C11" s="11">
        <f t="shared" si="0"/>
        <v>0.34968421052631576</v>
      </c>
      <c r="D11" s="9">
        <f t="shared" si="1"/>
        <v>7.4505505600000008E-2</v>
      </c>
      <c r="F11" s="1">
        <v>1.9E-2</v>
      </c>
      <c r="G11" s="1">
        <v>9.81</v>
      </c>
    </row>
    <row r="12" spans="1:7" x14ac:dyDescent="0.3">
      <c r="A12" s="7">
        <v>0.45</v>
      </c>
      <c r="B12" s="8">
        <v>7.4679999999999998E-3</v>
      </c>
      <c r="C12" s="11">
        <f t="shared" si="0"/>
        <v>0.39305263157894738</v>
      </c>
      <c r="D12" s="9">
        <f t="shared" si="1"/>
        <v>8.381164860000001E-2</v>
      </c>
      <c r="F12" s="1">
        <v>1.9E-2</v>
      </c>
      <c r="G12" s="1">
        <v>9.81</v>
      </c>
    </row>
    <row r="13" spans="1:7" x14ac:dyDescent="0.3">
      <c r="A13" s="7">
        <v>0.45</v>
      </c>
      <c r="B13" s="8">
        <v>7.5360000000000002E-3</v>
      </c>
      <c r="C13" s="11">
        <f t="shared" si="0"/>
        <v>0.39663157894736845</v>
      </c>
      <c r="D13" s="9">
        <f t="shared" si="1"/>
        <v>8.3811067200000006E-2</v>
      </c>
      <c r="F13" s="1">
        <v>1.9E-2</v>
      </c>
      <c r="G13" s="1">
        <v>9.81</v>
      </c>
    </row>
    <row r="14" spans="1:7" x14ac:dyDescent="0.3">
      <c r="A14" s="7">
        <v>0.5</v>
      </c>
      <c r="B14" s="8">
        <v>8.3859999999999994E-3</v>
      </c>
      <c r="C14" s="11">
        <f t="shared" si="0"/>
        <v>0.44136842105263158</v>
      </c>
      <c r="D14" s="9">
        <f t="shared" si="1"/>
        <v>9.3115333000000008E-2</v>
      </c>
      <c r="F14" s="1">
        <v>1.9E-2</v>
      </c>
      <c r="G14" s="1">
        <v>9.81</v>
      </c>
    </row>
    <row r="15" spans="1:7" x14ac:dyDescent="0.3">
      <c r="A15" s="7">
        <v>0.5</v>
      </c>
      <c r="B15" s="8">
        <v>8.3820000000000006E-3</v>
      </c>
      <c r="C15" s="11">
        <f t="shared" si="0"/>
        <v>0.44115789473684214</v>
      </c>
      <c r="D15" s="9">
        <f t="shared" si="1"/>
        <v>9.3115371000000016E-2</v>
      </c>
      <c r="F15" s="1">
        <v>1.9E-2</v>
      </c>
      <c r="G15" s="1">
        <v>9.81</v>
      </c>
    </row>
    <row r="16" spans="1:7" x14ac:dyDescent="0.3">
      <c r="A16" s="7">
        <v>0.55000000000000004</v>
      </c>
      <c r="B16" s="8">
        <v>9.2999999999999992E-3</v>
      </c>
      <c r="C16" s="11">
        <f t="shared" si="0"/>
        <v>0.48947368421052628</v>
      </c>
      <c r="D16" s="9">
        <f t="shared" si="1"/>
        <v>0.10241731500000002</v>
      </c>
      <c r="F16" s="1">
        <v>1.9E-2</v>
      </c>
      <c r="G16" s="1">
        <v>9.81</v>
      </c>
    </row>
    <row r="17" spans="1:7" x14ac:dyDescent="0.3">
      <c r="A17" s="7">
        <v>0.55000000000000004</v>
      </c>
      <c r="B17" s="8">
        <v>9.2899999999999996E-3</v>
      </c>
      <c r="C17" s="11">
        <f t="shared" si="0"/>
        <v>0.48894736842105263</v>
      </c>
      <c r="D17" s="9">
        <f t="shared" si="1"/>
        <v>0.10241741950000001</v>
      </c>
      <c r="F17" s="1">
        <v>1.9E-2</v>
      </c>
      <c r="G17" s="1">
        <v>9.81</v>
      </c>
    </row>
    <row r="18" spans="1:7" x14ac:dyDescent="0.3">
      <c r="A18" s="7">
        <v>0.6</v>
      </c>
      <c r="B18" s="10">
        <v>1.017E-2</v>
      </c>
      <c r="C18" s="11">
        <f t="shared" si="0"/>
        <v>0.53526315789473689</v>
      </c>
      <c r="D18" s="9">
        <f t="shared" si="1"/>
        <v>0.11171806199999999</v>
      </c>
      <c r="F18" s="1">
        <v>1.9E-2</v>
      </c>
      <c r="G18" s="1">
        <v>9.81</v>
      </c>
    </row>
    <row r="19" spans="1:7" x14ac:dyDescent="0.3">
      <c r="A19" s="7">
        <v>0.6</v>
      </c>
      <c r="B19" s="10">
        <v>1.0109999999999999E-2</v>
      </c>
      <c r="C19" s="11">
        <f t="shared" si="0"/>
        <v>0.53210526315789475</v>
      </c>
      <c r="D19" s="9">
        <f t="shared" si="1"/>
        <v>0.11171874600000001</v>
      </c>
      <c r="F19" s="1">
        <v>1.9E-2</v>
      </c>
      <c r="G19" s="1">
        <v>9.81</v>
      </c>
    </row>
    <row r="25" spans="1:7" x14ac:dyDescent="0.3">
      <c r="B25" t="s">
        <v>6</v>
      </c>
      <c r="C25" cm="1">
        <f t="array" ref="C25:D29">LINEST(D2:D19, C2:C19, TRUE, TRUE)</f>
        <v>0.20677165300924039</v>
      </c>
      <c r="D25">
        <v>1.6532178306217643E-3</v>
      </c>
      <c r="E25" t="s">
        <v>8</v>
      </c>
    </row>
    <row r="26" spans="1:7" x14ac:dyDescent="0.3">
      <c r="B26" t="s">
        <v>7</v>
      </c>
      <c r="C26">
        <v>1.7854466784810669E-3</v>
      </c>
      <c r="D26">
        <v>6.6232034782508307E-4</v>
      </c>
      <c r="E26" t="s">
        <v>9</v>
      </c>
    </row>
    <row r="27" spans="1:7" x14ac:dyDescent="0.3">
      <c r="C27">
        <v>0.99880844536980329</v>
      </c>
      <c r="D27">
        <v>8.7979176886110357E-4</v>
      </c>
    </row>
    <row r="28" spans="1:7" x14ac:dyDescent="0.3">
      <c r="C28">
        <v>13411.835866290978</v>
      </c>
      <c r="D28">
        <v>16</v>
      </c>
    </row>
    <row r="29" spans="1:7" x14ac:dyDescent="0.3">
      <c r="C29">
        <v>1.0381211015527168E-2</v>
      </c>
      <c r="D29">
        <v>1.2384536904891992E-5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Ahmed Nauman</dc:creator>
  <cp:lastModifiedBy>Misbah Ahmed</cp:lastModifiedBy>
  <dcterms:created xsi:type="dcterms:W3CDTF">2024-03-26T14:08:45Z</dcterms:created>
  <dcterms:modified xsi:type="dcterms:W3CDTF">2024-03-26T18:45:21Z</dcterms:modified>
</cp:coreProperties>
</file>